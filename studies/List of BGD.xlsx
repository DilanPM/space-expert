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people.ey.com/personal/ionut_dragan_be_ey_com/Documents/Desktop/"/>
    </mc:Choice>
  </mc:AlternateContent>
  <xr:revisionPtr revIDLastSave="0" documentId="8_{59E9EEAE-C3F7-4346-B559-B95AC8BE8F04}" xr6:coauthVersionLast="47" xr6:coauthVersionMax="47" xr10:uidLastSave="{00000000-0000-0000-0000-000000000000}"/>
  <bookViews>
    <workbookView xWindow="-108" yWindow="-108" windowWidth="23256" windowHeight="13896" xr2:uid="{22C329AF-0CDA-44A3-9A58-BB7EC7B56A40}"/>
  </bookViews>
  <sheets>
    <sheet name="Full ranking NEW LISTIN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00" i="1" l="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<sst xmlns="http://schemas.openxmlformats.org/spreadsheetml/2006/main" count="304" uniqueCount="208">
  <si>
    <t>Rank</t>
  </si>
  <si>
    <t>ID</t>
  </si>
  <si>
    <t>Bottleneck/ Gap / Dependency Title</t>
  </si>
  <si>
    <t>Severity</t>
  </si>
  <si>
    <t>Likelihood</t>
  </si>
  <si>
    <t>Materialisation timeframe</t>
  </si>
  <si>
    <t>Score</t>
  </si>
  <si>
    <t>A01</t>
  </si>
  <si>
    <t>CSG as the only fully operational European heavy-lift and low-inclination launch site; no European back-up launch site with access to any-inclination orbit, and a single pad per launcher family.</t>
  </si>
  <si>
    <t>Short term</t>
  </si>
  <si>
    <t>A02</t>
  </si>
  <si>
    <t>Only two active CSG launch pads (ELA-4 for Ariane 6, ZLV for Vega-C) with no redundant pad per launcher family, and single launcher-integration facilities (e.g. the BAL for Ariane 6); ELM-Diamant and ELM2 still emerging.</t>
  </si>
  <si>
    <t>A03</t>
  </si>
  <si>
    <t>Emerging European spaceports (Andøya, Esrange, SaxaVord) confined to polar/SSO inclinations (75.9°–110.6°).</t>
  </si>
  <si>
    <t>Medium term</t>
  </si>
  <si>
    <t>A04</t>
  </si>
  <si>
    <t>No demonstrated orbital launch capability outside CSG (Andøya: two campaigns — first flight 30 Mar 2025 terminated ≈ T+30 s, 2026 qualification attempts aborted/scrubbed; Esrange and SaxaVord licensed but unproven).</t>
  </si>
  <si>
    <t>A05</t>
  </si>
  <si>
    <t>No European-controlled continuous ascent telemetry coverage: no EU-soil-only ground network covers the full A6/Vega ascent across all trajectories, and no European TDRS-equivalent space-based relay exists; mid-Atlantic coverage relies on temporary maritime stations.</t>
  </si>
  <si>
    <t>A06</t>
  </si>
  <si>
    <t>No dedicated high-thrust reusable-engine test capacity beyond DLR Lampoldshausen and no back-up ground-firing plant for liquid/cryogenic engines; no 250 t-class facility for future super-heavy engines.</t>
  </si>
  <si>
    <t>A07</t>
  </si>
  <si>
    <t>No integrated return-from-space infrastructure at European spaceports.</t>
  </si>
  <si>
    <t>Long term</t>
  </si>
  <si>
    <t>A08</t>
  </si>
  <si>
    <t>No explicit sign of sovereign campaign capacity ring-fenced for institutional EU missions at CSG (Galileo, Copernicus, IRIS² compete with commercial cadence).</t>
  </si>
  <si>
    <t>A09</t>
  </si>
  <si>
    <t>Insufficient consolidation of a fully autonomous EU-level SSA sensor network and joint catalogue.</t>
  </si>
  <si>
    <t>A10</t>
  </si>
  <si>
    <t>No permanent European launch infrastructure coordination mechanism for shared assets.</t>
  </si>
  <si>
    <t>A11</t>
  </si>
  <si>
    <t>Single on-site solid-propellant plant (casting and loading) and single BEAP solid-motor test stand at CSG serving both Ariane 6 boosters (P120C/P160C) and the Vega-C first stage, with no back-up test facility for A6-class SRMs — a production or test anomaly grounds both institutional launchers simultaneously (see B1).</t>
  </si>
  <si>
    <t>A12</t>
  </si>
  <si>
    <t>DLR Lampoldshausen P5.2 as the only European bench able to qualify entire cryogenic upper stages, and P4 as the only European high-altitude engine simulation facility — no back-up ground-firing capacity for liquid/cryogenic engines and no redundant qualification path (see B2).</t>
  </si>
  <si>
    <t>A13</t>
  </si>
  <si>
    <t>No reuse plan for Cornwall — invested capital not repurposed for medium-launcher or reusability programmes.</t>
  </si>
  <si>
    <t>A14</t>
  </si>
  <si>
    <t>Limited existing capacity to operate parallel heavy or medium-lift campaigns (assembly, integration, payload preparation) at CSG; reducing time between launches is an ongoing effort.</t>
  </si>
  <si>
    <t>A15</t>
  </si>
  <si>
    <t>A single range/mission-level control room (Jupiter 2) for real-time monitoring, control and coordination of launcher countdowns and flight operations.</t>
  </si>
  <si>
    <t>A16</t>
  </si>
  <si>
    <t>Launch availability is significantly affected by weather conditions, particularly high-altitude winds. Even with estimates suggesting around 60% operational availability at certain sites, actual conditions vary by vehicle and mission, creating uncertainty and limiting scheduling reliability.</t>
  </si>
  <si>
    <t>A17</t>
  </si>
  <si>
    <t>Congestion risk at CSG as it moves from a two-launcher base to a multi-operator campus: rising Ariane 6 and Vega-C cadence combined with new launchers operating from ELM-Diamant/ELM2 increases contention for shared roads, safety zones, payload-preparation and integration facilities, and range slots.</t>
  </si>
  <si>
    <t>A18</t>
  </si>
  <si>
    <t>Single Launcher Assembly Building (BAL) for Ariane 6 horizontal integration at CSG, with no redundant assembly hall: any failure, damage or unavailability of the BAL directly halts Ariane 6 launch readiness.</t>
  </si>
  <si>
    <t>B01</t>
  </si>
  <si>
    <t>P120C/P160C dependency (used by both Ariane 6 and Vega-C) is a serial three-site chain (Colleferro → Le Haillan → Kourou) with no parallel path at any step, and the casting step currently locked to Kourou. The new-generation P160C booster shares the same production chain and single-site casting.</t>
  </si>
  <si>
    <t>B02</t>
  </si>
  <si>
    <t>Propulsion test capabilities for medium- and heavy-lift class engines exist at a single site and are oversubscribed: vacuum/high-altitude qualification of cryogenic upper-stage engines and full thrust-chamber testing at Lampoldshausen (see A12).</t>
  </si>
  <si>
    <t>B03</t>
  </si>
  <si>
    <t>Single European supplier (ArianeGroup) of precursor for solid propellants (NH4ClO4) and of MMH fuel.</t>
  </si>
  <si>
    <t>B04</t>
  </si>
  <si>
    <t>Single liquid-hydrogen supply in Kourou through Air Liquide Spatial Guyane, with maritime LH2 transport immature.</t>
  </si>
  <si>
    <t>B05</t>
  </si>
  <si>
    <t>Ariane 6 nominal cadence capped at 9–10 per year and Vega at 6 per year by supply-chain and manufacturing bottlenecks — solid-motor production first among them — with years needed merely to double that cadence.</t>
  </si>
  <si>
    <t>B06</t>
  </si>
  <si>
    <t>Limited availability of high-capacity vibration testing in Europe and frequent full booking.</t>
  </si>
  <si>
    <t>B07</t>
  </si>
  <si>
    <t>Absence of a comprehensive, system-level assessment of spare-parts availability for major spaceport and launch-support infrastructure.</t>
  </si>
  <si>
    <t>B08</t>
  </si>
  <si>
    <t>Over-fragmentation of European launcher initiatives — parallel small-launcher programmes and sites competing for the same limited institutional demand, capital and test capacity, diluting already limited launch volumes.</t>
  </si>
  <si>
    <t>C01</t>
  </si>
  <si>
    <t>Canopée as the sole purpose-built vessel for Ariane 6 stages between European ports and Pariacabo; crossings capped at ≈ 12 per year — a structurally thin margin with little buffer for dry-docking, damage or surge — in a flow that consolidates all stages and sub-assemblies of a rotation in one vessel.</t>
  </si>
  <si>
    <t>C02</t>
  </si>
  <si>
    <t>Pariacabo harbour capacity constraints under higher cadence (tide, shallow-water access, ship traffic); no substitute harbour in French Guiana.</t>
  </si>
  <si>
    <t>C03</t>
  </si>
  <si>
    <t>Single road serving both personnel and cargo flows between Pariacabo and CSG launch preparation; compounded internally by a single main road within CSG itself (Rue de l'espace), which is closed during launches and blocked during special transports, constraining on-site operations.</t>
  </si>
  <si>
    <t>C04</t>
  </si>
  <si>
    <t>APCO Technologies transport containers custom-designed for Ariane 6 stages; no generic substitute.</t>
  </si>
  <si>
    <t>C05</t>
  </si>
  <si>
    <t>Esrange and Andøya dependence on Swedish port infrastructure (Piteå, Gothenburg); Themis rerouted via Skellefteå during port strikes.</t>
  </si>
  <si>
    <t>C06</t>
  </si>
  <si>
    <t>Dependence of island-based spaceports (e.g. SaxaVord, Andøya, Atlantic Spaceport) on maritime transport links, local ports and ferry infrastructure for the delivery of launch-critical commodities, hazardous materials, propellants and oversized equipment.</t>
  </si>
  <si>
    <t>C07</t>
  </si>
  <si>
    <t>Insufficient CSG payload preparation, propellant production (LOX) and internal transport for expected launch scaling (the single-source LH2 dependency is flagged as a SPOF at B4).</t>
  </si>
  <si>
    <t>C08</t>
  </si>
  <si>
    <t>Limited adapted air transport for large spacecraft and oversized launcher hardware: reliance on the Antonov An-124 above the Airbus Beluga envelope, while the oversized-airfreight market undergoes a capacity squeeze running into the 2030s (ageing fleets, defence competition). Smaller and standard-sized payloads are routinely carried by other aircraft (e.g. B737-class freighters), the constraint is specific to hardware exceeding the Beluga mass/volume.</t>
  </si>
  <si>
    <t>C09</t>
  </si>
  <si>
    <t>Absence of a site-specific schedule-critical-elements improvement policy at each EU launch site — required to sustain flight cadence at the maximum forecast level.</t>
  </si>
  <si>
    <t>C10</t>
  </si>
  <si>
    <t>Vega-C component logistics rely on the long-term charter of two ageing Ro-Ro vessels (MN Toucan, 1995; MN Colibri, 2000) with no purpose-built successor identified — a thinner, older maritime layer than the Ariane 6 chain.</t>
  </si>
  <si>
    <t>CC01</t>
  </si>
  <si>
    <t>Dependence on ITAR-controlled US subsystems and components embedded in European launchers, where re-export/use restrictions can delay or constrain launch campaigns. Exposure is component-level rather than tied to payload-separation hardware specifically.</t>
  </si>
  <si>
    <t>CC02</t>
  </si>
  <si>
    <t>Non-European electronic components and subassemblies in launcher avionics (most critically US-dominated rad-hard FPGAs / SoC FPGAs, UDSM ASICs and wide-bandgap semiconductors, plus Asia-sourced CPUs, COTS parts and raw electronics).</t>
  </si>
  <si>
    <t>CC03</t>
  </si>
  <si>
    <t>Vega upper-stage engine built and tested in Ukraine — a continuing dependency for the operational upper stage.</t>
  </si>
  <si>
    <t>CC04</t>
  </si>
  <si>
    <t>Antenna and RF market concentration on US or US-controlled suppliers (10–100 kW high-power amplifiers for deep-space stations).</t>
  </si>
  <si>
    <t>CC05</t>
  </si>
  <si>
    <t>Partial reliance on US-provided SSA data (CDMs, catalogue inputs) for the EU SST collision-avoidance service.</t>
  </si>
  <si>
    <t>CC06</t>
  </si>
  <si>
    <t>Reliance on the Ukraine-operated Antonov An-124 for the heaviest oversized launcher and spacecraft hardware; Airbus BelugaXL / Beluga ST provide a European alternative but with a lower mass ceiling and limited third-party availability.</t>
  </si>
  <si>
    <t>CC07</t>
  </si>
  <si>
    <t>ESA ESTRACK dependency on non-EU host countries (Australia, Argentina, Gabon, Brazil, Canada, South Korea, UK Overseas Territories).</t>
  </si>
  <si>
    <t>CC08</t>
  </si>
  <si>
    <t>Non-EU dependency on batteries for launcher and stage electrical systems.</t>
  </si>
  <si>
    <t>CC09</t>
  </si>
  <si>
    <t>Non-EU dependency on advanced carbon fibres for launcher structures and SRM cases.</t>
  </si>
  <si>
    <t>D01</t>
  </si>
  <si>
    <t>Fragmented national licensing regimes with excessive authorisation and contract-finalisation timing (PT ≈ 90 days; UK ≈ 2.5 years; different regimes in NO, SE, FR, DE).</t>
  </si>
  <si>
    <t>D02</t>
  </si>
  <si>
    <t>No mutual recognition of launch licences and no common EU authorisation / air-traffic-control framework shared across European launch sites; operators changing jurisdiction must repeat authorisation, safety case, environmental assessment and airspace coordination.</t>
  </si>
  <si>
    <t>D03</t>
  </si>
  <si>
    <t>Absence of shared European technical standards for safety-critical systems (neutralisation, tracking, radar, FTS).</t>
  </si>
  <si>
    <t>D04</t>
  </si>
  <si>
    <t>Minimum inter-launch delay imposed by the CSG range (≈ 8–10 working days between launches per interview evidence), capping the site at roughly 40–45 launches per year before weather and operational reductions; reconfiguring the range between different launcher systems adds further time (≈ 11 working days).</t>
  </si>
  <si>
    <t>D05</t>
  </si>
  <si>
    <t>No standardised European mechanism for reserving and coordinating airspace for space activities; multi-jurisdictional ATC coordination is inherent to most mainland-Europe trajectories, as demonstrated by the LauncherOne experience (UK, Ireland, Spain, Portugal).</t>
  </si>
  <si>
    <t>D06</t>
  </si>
  <si>
    <t>National environmental, noise and hazard regulations constrain propulsion-test infrastructure development and differ across European jurisdictions.</t>
  </si>
  <si>
    <t>D07</t>
  </si>
  <si>
    <t>Insufficient integration of maritime environmental frameworks (OSPAR, London Convention) in offshore launch planning.</t>
  </si>
  <si>
    <t>D08</t>
  </si>
  <si>
    <t>Regulatory and environmental cadence constraints embedded in national licences and range rules limit effective throughput below physical pad capacity.</t>
  </si>
  <si>
    <t>D09</t>
  </si>
  <si>
    <t>Lack of a harmonised European range-safety and flight-termination framework — including slow rollout of Autonomous Flight Termination System regulatory provisions — forcing launch sites to develop site-specific solutions with limited interoperability and mutual recognition.</t>
  </si>
  <si>
    <t>D10</t>
  </si>
  <si>
    <t>Maritime range surveillance and enforcement gaps at emerging spaceports directly cost launch attempts.</t>
  </si>
  <si>
    <t>D11</t>
  </si>
  <si>
    <t>Absence of a recognised EU space-access service operator with clearly defined roles and standard operating procedures.</t>
  </si>
  <si>
    <t>D12</t>
  </si>
  <si>
    <t>The use of Norwegian airspace for Esrange polar trajectories requires a permit under Norway’s Aviation Act (§2-2), while no reference to this is found in Esrange procedures or handbooks — a non-redundant cross-border enabling condition for every Esrange orbital launch.</t>
  </si>
  <si>
    <t>D13</t>
  </si>
  <si>
    <t>Reliance on the US regulatory standard for launch safety assessment: SSC/SNSA plan to assess Esrange launches under FAA Part 450, and CAA Norway already uses FAA Part 450 as its standard for assessing Andøya launches.</t>
  </si>
  <si>
    <t>D14</t>
  </si>
  <si>
    <t>Mainland Europe offers limited suitable locations if coastal-site prioritisation for downrange safety is followed.</t>
  </si>
  <si>
    <t>E01</t>
  </si>
  <si>
    <t>High fixed-cost structure of Ariane 6 (≈ 50–60%) and high recurring cost eroding sovereign price competitiveness — requires sustained cadence to absorb the infrastructure and geo-return base.</t>
  </si>
  <si>
    <t>E02</t>
  </si>
  <si>
    <t>Atlantic Spaceport phased CAPEX (≈ €10–15 M) unfunded; break-even at 6–7 launches per year.</t>
  </si>
  <si>
    <t>E03</t>
  </si>
  <si>
    <t>Chicken-and-egg funding problem at emerging sites — most acute at Andøya Pad B, whose funding release requires a launch-provider contract while customers prefer existing infrastructure — with fixed costs accruing on both sides in the meantime.</t>
  </si>
  <si>
    <t>E04</t>
  </si>
  <si>
    <t>Insufficient availability of European growth-stage capital, forcing dependence on foreign investors for large scale-up rounds and exits.</t>
  </si>
  <si>
    <t>E05</t>
  </si>
  <si>
    <t>Widening European public-space-investment gap relative to the United States, eroding long-term competitiveness and strategic autonomy.</t>
  </si>
  <si>
    <t>E06</t>
  </si>
  <si>
    <t>Public co-financing risk of stranded launcher-specific infrastructure (Sutherland/Orbex case).</t>
  </si>
  <si>
    <t>E07</t>
  </si>
  <si>
    <t>Institutional launch procurement remains slow and cautious, based on legacy Ariane/Vega contract structures.</t>
  </si>
  <si>
    <t>E08</t>
  </si>
  <si>
    <t>Weak commercial economics of launch-support TT&amp;C services relative to routine satellite operations.</t>
  </si>
  <si>
    <t>E09</t>
  </si>
  <si>
    <t>Anchor-tenant / single-operator dependency at emerging European spaceports — operator failure removes the site’s entire orbital output.</t>
  </si>
  <si>
    <t>E10</t>
  </si>
  <si>
    <t>20-year exclusive pad-access contracts at emerging spaceports preclude multi-user access and any responsive-launch surge capacity.</t>
  </si>
  <si>
    <t>E11</t>
  </si>
  <si>
    <t>Absence of an EU-level access-to-space business plan covering cadence, mission mix and pricing across institutional and commercial demand.</t>
  </si>
  <si>
    <t>E12</t>
  </si>
  <si>
    <t>Absence of EU-level financial plans (including insurance schemes) for launch infrastructure investment, operation and liability.</t>
  </si>
  <si>
    <t>E13</t>
  </si>
  <si>
    <t>Funding challenges for spaceports and testing facilities due to high upfront CAPEX and high fixed costs without customer commitments; all major spaceports receive direct or indirect public support, which distorts the market while also reflecting genuine strategic value and under-provision by private markets.</t>
  </si>
  <si>
    <t>E14</t>
  </si>
  <si>
    <t>CSG operations, maintenance and modernisation rely on multi-annual ESA commitments alongside French national investment — ensuring availability but exposing upgrades to ministerial funding cycles and negotiations over investment allocation across complementary facilities.</t>
  </si>
  <si>
    <t>E15</t>
  </si>
  <si>
    <t>The low-margin nature of space programmes pushes industry to prioritise investment into other developments (i.e. defence) rather than upgrade or expand facilities through purely private financing.</t>
  </si>
  <si>
    <t>E16</t>
  </si>
  <si>
    <t>Facilities relying almost entirely on orbital launches are highly exposed to low cadence and delays, with limited ability to earn revenue from testing, sounding rockets and ground-station services at new sites.</t>
  </si>
  <si>
    <t>E17</t>
  </si>
  <si>
    <t>ESA geographic return principle allocates launcher industrial workshare according to Member States’ financial contributions rather than industrial competitiveness or efficiency, fragmenting production across multiple sites and jurisdictions, adding cost and coordination overhead, slowing decision-making, and constraining the price competitiveness and cadence scale-up of European launchers.</t>
  </si>
  <si>
    <t>F01</t>
  </si>
  <si>
    <t>Shortage of experienced launch-operations, range-safety and re-entry-analysis specialists needed to support the growth of European launch activities.</t>
  </si>
  <si>
    <t>F02</t>
  </si>
  <si>
    <t>Remote-location recruitment and retention constraints at all launch facilities: local labour pools cannot supply the skills, so most specialists are expensive rotating expatriates.</t>
  </si>
  <si>
    <t>F03</t>
  </si>
  <si>
    <t>Limited use of European student rocketry programmes (e.g. EuRoC) as structured talent-development and recruitment pathways for the launch ecosystem.</t>
  </si>
  <si>
    <t>F04</t>
  </si>
  <si>
    <t>TT&amp;C operational expertise is experience-dependent; local know-how difficult to scale rapidly (e.g. KSAT Arctic facilities).</t>
  </si>
  <si>
    <t>F05</t>
  </si>
  <si>
    <t>New launch companies lack deep spaceport-operations experience; require ESA-anchored knowledge transfer.</t>
  </si>
  <si>
    <t>F06</t>
  </si>
  <si>
    <t>Labour relations as a launch-stopping mechanism, with single-subcontractor chokepoints, as manifested at CSG in 2011 and 2017.</t>
  </si>
  <si>
    <t>F07</t>
  </si>
  <si>
    <t>Scarce, non-redundant specialist functions due to low process rates and singular sites for specific steps of launcher manufacturing, assembly and integration.</t>
  </si>
  <si>
    <t>F08</t>
  </si>
  <si>
    <t>Low cadence yields limited opportunities for experiential skills development, exacerbated by any vehicle grounding.</t>
  </si>
  <si>
    <t>G01</t>
  </si>
  <si>
    <t>Under-investment in CSG cybersecurity as digitalisation of the Jupiter Control Room and CDL-3 expands.</t>
  </si>
  <si>
    <t>G02</t>
  </si>
  <si>
    <t>Cybersecurity perimeter around test/operations environments needs to extend beyond isolated test benches.</t>
  </si>
  <si>
    <t>G03</t>
  </si>
  <si>
    <t>Rapid obsolescence risk in antennas and telemetry systems at emerging spaceports.</t>
  </si>
  <si>
    <t>G04</t>
  </si>
  <si>
    <t>Emerging small-launch spaceports lack integrated TT&amp;C, radar and telemetry packages from the outset.</t>
  </si>
  <si>
    <t>G05</t>
  </si>
  <si>
    <t>Ground stations under-protected against physical attacks and severe weather.</t>
  </si>
  <si>
    <t>G06</t>
  </si>
  <si>
    <t>Insufficient dual-site failover architectures for launch and constellation operations.</t>
  </si>
  <si>
    <t>G07</t>
  </si>
  <si>
    <t>Fragmented operational practices across European launch-related operations centres and adjacent mission-operations centres.</t>
  </si>
  <si>
    <t>G08</t>
  </si>
  <si>
    <t>Lack of confidentiality architecture in multi-user spaceports for defence and classified missions.</t>
  </si>
  <si>
    <t>G09</t>
  </si>
  <si>
    <t>Absence of an explicit EU access-to-space policy derived from a formal scenario-selection process.</t>
  </si>
  <si>
    <t>G10</t>
  </si>
  <si>
    <t>Absence of a design and development plan for a mobile / relocatable launch platform as a technology-resilience option.</t>
  </si>
  <si>
    <t>G11</t>
  </si>
  <si>
    <t>Weather shapes operating windows and logistics reliability at every site, in opposite ways at the two latitudes.</t>
  </si>
  <si>
    <t>G12</t>
  </si>
  <si>
    <t>CSG’s concentration in French Guiana exposes European launch activity to local civil disruption and loss of physical access, as during the 2017 territory-wide protests.</t>
  </si>
  <si>
    <t>G13</t>
  </si>
  <si>
    <t>The Arctic launch corridor overlaps the region with Europe’s most persistent documented GNSS jamming.</t>
  </si>
  <si>
    <t>G14</t>
  </si>
  <si>
    <t>Remoteness of CSG and most proposed launch sites increases turnaround and supply times following any accident or damage to existing infrastructure, compared with launch sites with integrated supply chains.</t>
  </si>
  <si>
    <t>G15</t>
  </si>
  <si>
    <t>Andøya’s telemetry, tracking-radar and flight-termination assets are shared between orbital launch, sounding rockets and defence testing, constraining independence and cadence until the dedicated FTS/telemetry upgrades under way are commissioned.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</si>
</sst>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1"/>
      <color rgb="FFFFFFFF"/>
      <name val="Calibri"/>
      <family val="2"/>
    </font>
    <font>
      <sz val="11"/>
      <color rgb="FF666666"/>
      <name val="Calibri"/>
      <family val="2"/>
    </font>
    <font>
      <sz val="11"/>
      <color rgb="FF666666"/>
      <name val="Calibri"/>
    </font>
    <font>
      <sz val="11"/>
      <color rgb="FF0000FF"/>
      <name val="Calibri"/>
      <family val="2"/>
    </font>
    <font>
      <sz val="11"/>
      <color rgb="FF000000"/>
      <name val="Calibri"/>
      <family val="2"/>
    </font>
  </fonts>
  <fills count="4">
    <fill>
      <patternFill patternType="none"/>
    </fill>
    <fill>
      <patternFill patternType="gray125"/>
    </fill>
    <fill>
      <patternFill patternType="solid">
        <fgColor rgb="FF17365D"/>
      </patternFill>
    </fill>
    <fill>
      <patternFill patternType="solid">
        <fgColor rgb="FFF3F6F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xf>
    <xf numFmtId="0" fontId="2" fillId="3" borderId="0" xfId="0" applyFont="1" applyFill="1" applyAlignment="1">
      <alignment horizontal="center" vertical="center"/>
    </xf>
    <xf numFmtId="0" fontId="3" fillId="3" borderId="0" xfId="0" applyFont="1" applyFill="1" applyAlignment="1">
      <alignment horizontal="center" vertical="center"/>
    </xf>
    <xf numFmtId="0" fontId="2" fillId="3" borderId="0" xfId="0" applyFont="1" applyFill="1" applyAlignment="1">
      <alignment vertical="top" wrapText="1"/>
    </xf>
    <xf numFmtId="0" fontId="4" fillId="3" borderId="0" xfId="0" applyFont="1" applyFill="1" applyAlignment="1">
      <alignment horizontal="center"/>
    </xf>
    <xf numFmtId="164" fontId="5" fillId="3" borderId="0" xfId="0" applyNumberFormat="1" applyFont="1" applyFill="1" applyAlignment="1">
      <alignment horizontal="center"/>
    </xf>
    <xf numFmtId="0" fontId="3" fillId="0" borderId="0" xfId="0" applyFont="1" applyAlignment="1">
      <alignment horizontal="center" vertical="center"/>
    </xf>
    <xf numFmtId="0" fontId="2" fillId="0" borderId="0" xfId="0" applyFont="1" applyAlignment="1">
      <alignment vertical="top" wrapText="1"/>
    </xf>
    <xf numFmtId="0" fontId="4" fillId="0" borderId="0" xfId="0" applyFont="1" applyAlignment="1">
      <alignment horizontal="center"/>
    </xf>
    <xf numFmtId="164" fontId="5" fillId="0" borderId="0" xfId="0" applyNumberFormat="1" applyFont="1" applyAlignment="1">
      <alignment horizontal="center"/>
    </xf>
    <xf numFmtId="0" fontId="2" fillId="0" borderId="0" xfId="0" applyFont="1" applyAlignment="1">
      <alignment horizontal="center" vertical="center"/>
    </xf>
  </cellXfs>
  <cellStyles count="1">
    <cellStyle name="Normal" xfId="0" builtinId="0"/>
  </cellStyles>
  <dxfs count="3">
    <dxf>
      <font>
        <b val="0"/>
        <i val="0"/>
        <strike val="0"/>
        <condense val="0"/>
        <extend val="0"/>
        <outline val="0"/>
        <shadow val="0"/>
        <u val="none"/>
        <vertAlign val="baseline"/>
        <sz val="11"/>
        <color rgb="FF666666"/>
        <name val="Calibri"/>
        <scheme val="none"/>
      </font>
      <fill>
        <patternFill patternType="solid">
          <fgColor indexed="64"/>
          <bgColor rgb="FFF3F6F9"/>
        </patternFill>
      </fill>
      <alignment horizontal="general" vertical="top" textRotation="0" wrapText="1" indent="0" justifyLastLine="0" shrinkToFit="0" readingOrder="0"/>
    </dxf>
    <dxf>
      <font>
        <b val="0"/>
        <i val="0"/>
        <strike val="0"/>
        <condense val="0"/>
        <extend val="0"/>
        <outline val="0"/>
        <shadow val="0"/>
        <u val="none"/>
        <vertAlign val="baseline"/>
        <sz val="11"/>
        <color rgb="FF666666"/>
        <name val="Calibri"/>
        <family val="2"/>
        <scheme val="none"/>
      </font>
      <fill>
        <patternFill patternType="solid">
          <fgColor indexed="64"/>
          <bgColor rgb="FFF3F6F9"/>
        </patternFill>
      </fill>
      <alignment horizontal="center" vertical="center" textRotation="0" wrapText="0" indent="0" justifyLastLine="0" shrinkToFit="0" readingOrder="0"/>
    </dxf>
    <dxf>
      <font>
        <b val="0"/>
        <i val="0"/>
        <strike val="0"/>
        <condense val="0"/>
        <extend val="0"/>
        <outline val="0"/>
        <shadow val="0"/>
        <u val="none"/>
        <vertAlign val="baseline"/>
        <sz val="11"/>
        <color rgb="FF666666"/>
        <name val="Calibri"/>
        <family val="2"/>
        <scheme val="none"/>
      </font>
      <fill>
        <patternFill patternType="solid">
          <fgColor indexed="64"/>
          <bgColor rgb="FFF3F6F9"/>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8E89A6-59EF-4D75-AC2A-D65E3DE241A5}" name="ATS_Criticality_Ranking3" displayName="ATS_Criticality_Ranking3" ref="A1:G100">
  <autoFilter ref="A1:G100" xr:uid="{00000000-0009-0000-0100-000001000000}"/>
  <sortState xmlns:xlrd2="http://schemas.microsoft.com/office/spreadsheetml/2017/richdata2" ref="A2:G100">
    <sortCondition ref="B1:B100"/>
  </sortState>
  <tableColumns count="7">
    <tableColumn id="1" xr3:uid="{82C70404-50F7-4265-A9FF-F5173C5F3D2E}" name="Rank" dataDxfId="2"/>
    <tableColumn id="2" xr3:uid="{52A7E411-EFC0-41C7-947B-1DA901DDAA30}" name="ID" dataDxfId="1"/>
    <tableColumn id="3" xr3:uid="{62DCD5BC-B20C-4950-99BF-8006BF149195}" name="Bottleneck/ Gap / Dependency Title" dataDxfId="0"/>
    <tableColumn id="4" xr3:uid="{2B77CF91-A43A-468B-BA2F-5E596100A9AE}" name="Severity"/>
    <tableColumn id="5" xr3:uid="{73B4990B-7579-40C7-8625-5AE58242BC55}" name="Likelihood"/>
    <tableColumn id="6" xr3:uid="{E60C3AE5-CDF6-406E-A375-01166CB51369}" name="Materialisation timeframe"/>
    <tableColumn id="7" xr3:uid="{A0F9368D-36A9-41FA-9539-9F746109038B}" name="Score">
      <calculatedColumnFormula>D2*E2*IF(F2="Short term",1.5,IF(F2="Medium term",1,0.7))</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F1598-EEE1-4A83-8FA1-785856E5989C}">
  <dimension ref="A1:G100"/>
  <sheetViews>
    <sheetView showGridLines="0" tabSelected="1" zoomScale="115" zoomScaleNormal="115" workbookViewId="0">
      <pane ySplit="1" topLeftCell="A59" activePane="bottomLeft" state="frozen"/>
      <selection pane="bottomLeft" activeCell="C62" sqref="C62"/>
    </sheetView>
  </sheetViews>
  <sheetFormatPr defaultRowHeight="14.4" x14ac:dyDescent="0.3"/>
  <cols>
    <col min="1" max="1" width="8" customWidth="1"/>
    <col min="2" max="2" width="10" customWidth="1"/>
    <col min="3" max="3" width="92" customWidth="1"/>
    <col min="4" max="4" width="11" customWidth="1"/>
    <col min="5" max="5" width="12" customWidth="1"/>
    <col min="6" max="6" width="26.77734375" customWidth="1"/>
    <col min="7" max="7" width="11" customWidth="1"/>
  </cols>
  <sheetData>
    <row r="1" spans="1:7" x14ac:dyDescent="0.3">
      <c r="A1" s="1" t="s">
        <v>0</v>
      </c>
      <c r="B1" s="1" t="s">
        <v>1</v>
      </c>
      <c r="C1" s="1" t="s">
        <v>2</v>
      </c>
      <c r="D1" s="1" t="s">
        <v>3</v>
      </c>
      <c r="E1" s="1" t="s">
        <v>4</v>
      </c>
      <c r="F1" s="1" t="s">
        <v>5</v>
      </c>
      <c r="G1" s="1" t="s">
        <v>6</v>
      </c>
    </row>
    <row r="2" spans="1:7" ht="28.8" x14ac:dyDescent="0.3">
      <c r="A2" s="2">
        <v>1</v>
      </c>
      <c r="B2" s="3" t="s">
        <v>7</v>
      </c>
      <c r="C2" s="4" t="s">
        <v>8</v>
      </c>
      <c r="D2" s="5">
        <v>5</v>
      </c>
      <c r="E2" s="5">
        <v>3</v>
      </c>
      <c r="F2" s="5" t="s">
        <v>9</v>
      </c>
      <c r="G2" s="6">
        <f>D2*E2*IF(F2="Short term",1.5,IF(F2="Medium term",1,0.7))</f>
        <v>22.5</v>
      </c>
    </row>
    <row r="3" spans="1:7" ht="50.55" customHeight="1" x14ac:dyDescent="0.3">
      <c r="A3" s="2">
        <v>5</v>
      </c>
      <c r="B3" s="3" t="s">
        <v>10</v>
      </c>
      <c r="C3" s="4" t="s">
        <v>11</v>
      </c>
      <c r="D3" s="5">
        <v>5</v>
      </c>
      <c r="E3" s="5">
        <v>3</v>
      </c>
      <c r="F3" s="5" t="s">
        <v>9</v>
      </c>
      <c r="G3" s="6">
        <f>D3*E3*IF(F3="Short term",1.5,IF(F3="Medium term",1,0.7))</f>
        <v>22.5</v>
      </c>
    </row>
    <row r="4" spans="1:7" x14ac:dyDescent="0.3">
      <c r="A4" s="2">
        <v>56</v>
      </c>
      <c r="B4" s="7" t="s">
        <v>12</v>
      </c>
      <c r="C4" s="8" t="s">
        <v>13</v>
      </c>
      <c r="D4" s="9">
        <v>3</v>
      </c>
      <c r="E4" s="9">
        <v>3</v>
      </c>
      <c r="F4" s="9" t="s">
        <v>14</v>
      </c>
      <c r="G4" s="10">
        <f>D4*E4*IF(F4="Short term",1.5,IF(F4="Medium term",1,0.7))</f>
        <v>9</v>
      </c>
    </row>
    <row r="5" spans="1:7" ht="43.2" x14ac:dyDescent="0.3">
      <c r="A5" s="2">
        <v>6</v>
      </c>
      <c r="B5" s="7" t="s">
        <v>15</v>
      </c>
      <c r="C5" s="8" t="s">
        <v>16</v>
      </c>
      <c r="D5" s="9">
        <v>5</v>
      </c>
      <c r="E5" s="9">
        <v>3</v>
      </c>
      <c r="F5" s="9" t="s">
        <v>9</v>
      </c>
      <c r="G5" s="10">
        <f>D5*E5*IF(F5="Short term",1.5,IF(F5="Medium term",1,0.7))</f>
        <v>22.5</v>
      </c>
    </row>
    <row r="6" spans="1:7" ht="43.2" x14ac:dyDescent="0.3">
      <c r="A6" s="2">
        <v>64</v>
      </c>
      <c r="B6" s="3" t="s">
        <v>17</v>
      </c>
      <c r="C6" s="4" t="s">
        <v>18</v>
      </c>
      <c r="D6" s="5">
        <v>4</v>
      </c>
      <c r="E6" s="5">
        <v>2</v>
      </c>
      <c r="F6" s="5" t="s">
        <v>14</v>
      </c>
      <c r="G6" s="6">
        <f>D6*E6*IF(F6="Short term",1.5,IF(F6="Medium term",1,0.7))</f>
        <v>8</v>
      </c>
    </row>
    <row r="7" spans="1:7" ht="28.8" x14ac:dyDescent="0.3">
      <c r="A7" s="2">
        <v>55</v>
      </c>
      <c r="B7" s="3" t="s">
        <v>19</v>
      </c>
      <c r="C7" s="4" t="s">
        <v>20</v>
      </c>
      <c r="D7" s="5">
        <v>5</v>
      </c>
      <c r="E7" s="5">
        <v>2</v>
      </c>
      <c r="F7" s="5" t="s">
        <v>14</v>
      </c>
      <c r="G7" s="6">
        <f>D7*E7*IF(F7="Short term",1.5,IF(F7="Medium term",1,0.7))</f>
        <v>10</v>
      </c>
    </row>
    <row r="8" spans="1:7" x14ac:dyDescent="0.3">
      <c r="A8" s="2">
        <v>96</v>
      </c>
      <c r="B8" s="7" t="s">
        <v>21</v>
      </c>
      <c r="C8" s="8" t="s">
        <v>22</v>
      </c>
      <c r="D8" s="9">
        <v>3</v>
      </c>
      <c r="E8" s="9">
        <v>2</v>
      </c>
      <c r="F8" s="9" t="s">
        <v>23</v>
      </c>
      <c r="G8" s="10">
        <f>D8*E8*IF(F8="Short term",1.5,IF(F8="Medium term",1,0.7))</f>
        <v>4.1999999999999993</v>
      </c>
    </row>
    <row r="9" spans="1:7" ht="28.8" x14ac:dyDescent="0.3">
      <c r="A9" s="2">
        <v>24</v>
      </c>
      <c r="B9" s="3" t="s">
        <v>24</v>
      </c>
      <c r="C9" s="4" t="s">
        <v>25</v>
      </c>
      <c r="D9" s="5">
        <v>4</v>
      </c>
      <c r="E9" s="5">
        <v>3</v>
      </c>
      <c r="F9" s="5" t="s">
        <v>9</v>
      </c>
      <c r="G9" s="6">
        <f>D9*E9*IF(F9="Short term",1.5,IF(F9="Medium term",1,0.7))</f>
        <v>18</v>
      </c>
    </row>
    <row r="10" spans="1:7" x14ac:dyDescent="0.3">
      <c r="A10" s="2">
        <v>78</v>
      </c>
      <c r="B10" s="7" t="s">
        <v>26</v>
      </c>
      <c r="C10" s="8" t="s">
        <v>27</v>
      </c>
      <c r="D10" s="9">
        <v>3</v>
      </c>
      <c r="E10" s="9">
        <v>2</v>
      </c>
      <c r="F10" s="9" t="s">
        <v>14</v>
      </c>
      <c r="G10" s="10">
        <f>D10*E10*IF(F10="Short term",1.5,IF(F10="Medium term",1,0.7))</f>
        <v>6</v>
      </c>
    </row>
    <row r="11" spans="1:7" x14ac:dyDescent="0.3">
      <c r="A11" s="2">
        <v>77</v>
      </c>
      <c r="B11" s="2" t="s">
        <v>28</v>
      </c>
      <c r="C11" s="4" t="s">
        <v>29</v>
      </c>
      <c r="D11" s="5">
        <v>3</v>
      </c>
      <c r="E11" s="5">
        <v>2</v>
      </c>
      <c r="F11" s="5" t="s">
        <v>14</v>
      </c>
      <c r="G11" s="6">
        <f>D11*E11*IF(F11="Short term",1.5,IF(F11="Medium term",1,0.7))</f>
        <v>6</v>
      </c>
    </row>
    <row r="12" spans="1:7" ht="43.2" x14ac:dyDescent="0.3">
      <c r="A12" s="2">
        <v>2</v>
      </c>
      <c r="B12" s="11" t="s">
        <v>30</v>
      </c>
      <c r="C12" s="8" t="s">
        <v>31</v>
      </c>
      <c r="D12" s="9">
        <v>5</v>
      </c>
      <c r="E12" s="9">
        <v>3</v>
      </c>
      <c r="F12" s="9" t="s">
        <v>9</v>
      </c>
      <c r="G12" s="10">
        <f>D12*E12*IF(F12="Short term",1.5,IF(F12="Medium term",1,0.7))</f>
        <v>22.5</v>
      </c>
    </row>
    <row r="13" spans="1:7" ht="43.2" x14ac:dyDescent="0.3">
      <c r="A13" s="2">
        <v>3</v>
      </c>
      <c r="B13" s="2" t="s">
        <v>32</v>
      </c>
      <c r="C13" s="4" t="s">
        <v>33</v>
      </c>
      <c r="D13" s="5">
        <v>5</v>
      </c>
      <c r="E13" s="5">
        <v>3</v>
      </c>
      <c r="F13" s="5" t="s">
        <v>9</v>
      </c>
      <c r="G13" s="6">
        <f>D13*E13*IF(F13="Short term",1.5,IF(F13="Medium term",1,0.7))</f>
        <v>22.5</v>
      </c>
    </row>
    <row r="14" spans="1:7" ht="28.8" x14ac:dyDescent="0.3">
      <c r="A14" s="2">
        <v>99</v>
      </c>
      <c r="B14" s="2" t="s">
        <v>34</v>
      </c>
      <c r="C14" s="4" t="s">
        <v>35</v>
      </c>
      <c r="D14" s="5">
        <v>2</v>
      </c>
      <c r="E14" s="5">
        <v>1</v>
      </c>
      <c r="F14" s="5" t="s">
        <v>23</v>
      </c>
      <c r="G14" s="6">
        <f>D14*E14*IF(F14="Short term",1.5,IF(F14="Medium term",1,0.7))</f>
        <v>1.4</v>
      </c>
    </row>
    <row r="15" spans="1:7" ht="28.8" x14ac:dyDescent="0.3">
      <c r="A15" s="2">
        <v>23</v>
      </c>
      <c r="B15" s="2" t="s">
        <v>36</v>
      </c>
      <c r="C15" s="4" t="s">
        <v>37</v>
      </c>
      <c r="D15" s="5">
        <v>4</v>
      </c>
      <c r="E15" s="5">
        <v>3</v>
      </c>
      <c r="F15" s="5" t="s">
        <v>9</v>
      </c>
      <c r="G15" s="6">
        <f>D15*E15*IF(F15="Short term",1.5,IF(F15="Medium term",1,0.7))</f>
        <v>18</v>
      </c>
    </row>
    <row r="16" spans="1:7" ht="28.8" x14ac:dyDescent="0.3">
      <c r="A16" s="2">
        <v>4</v>
      </c>
      <c r="B16" s="11" t="s">
        <v>38</v>
      </c>
      <c r="C16" s="8" t="s">
        <v>39</v>
      </c>
      <c r="D16" s="9">
        <v>5</v>
      </c>
      <c r="E16" s="9">
        <v>3</v>
      </c>
      <c r="F16" s="9" t="s">
        <v>9</v>
      </c>
      <c r="G16" s="10">
        <f>D16*E16*IF(F16="Short term",1.5,IF(F16="Medium term",1,0.7))</f>
        <v>22.5</v>
      </c>
    </row>
    <row r="17" spans="1:7" ht="43.2" x14ac:dyDescent="0.3">
      <c r="A17" s="2">
        <v>38</v>
      </c>
      <c r="B17" s="2" t="s">
        <v>40</v>
      </c>
      <c r="C17" s="4" t="s">
        <v>41</v>
      </c>
      <c r="D17" s="5">
        <v>3</v>
      </c>
      <c r="E17" s="5">
        <v>3</v>
      </c>
      <c r="F17" s="5" t="s">
        <v>9</v>
      </c>
      <c r="G17" s="6">
        <f>D17*E17*IF(F17="Short term",1.5,IF(F17="Medium term",1,0.7))</f>
        <v>13.5</v>
      </c>
    </row>
    <row r="18" spans="1:7" ht="43.2" x14ac:dyDescent="0.3">
      <c r="A18" s="2">
        <v>40</v>
      </c>
      <c r="B18" s="11" t="s">
        <v>42</v>
      </c>
      <c r="C18" s="8" t="s">
        <v>43</v>
      </c>
      <c r="D18" s="9">
        <v>4</v>
      </c>
      <c r="E18" s="9">
        <v>3</v>
      </c>
      <c r="F18" s="9" t="s">
        <v>14</v>
      </c>
      <c r="G18" s="6">
        <f>D18*E18*IF(F18="Short term",1.5,IF(F18="Medium term",1,0.7))</f>
        <v>12</v>
      </c>
    </row>
    <row r="19" spans="1:7" ht="28.8" x14ac:dyDescent="0.3">
      <c r="A19" s="2">
        <v>22</v>
      </c>
      <c r="B19" s="11" t="s">
        <v>44</v>
      </c>
      <c r="C19" s="8" t="s">
        <v>45</v>
      </c>
      <c r="D19" s="9">
        <v>5</v>
      </c>
      <c r="E19" s="9">
        <v>3</v>
      </c>
      <c r="F19" s="9" t="s">
        <v>9</v>
      </c>
      <c r="G19" s="10">
        <f>D19*E19*IF(F19="Short term",1.5,IF(F19="Medium term",1,0.7))</f>
        <v>22.5</v>
      </c>
    </row>
    <row r="20" spans="1:7" ht="43.2" x14ac:dyDescent="0.3">
      <c r="A20" s="2">
        <v>7</v>
      </c>
      <c r="B20" s="3" t="s">
        <v>46</v>
      </c>
      <c r="C20" s="4" t="s">
        <v>47</v>
      </c>
      <c r="D20" s="5">
        <v>5</v>
      </c>
      <c r="E20" s="5">
        <v>3</v>
      </c>
      <c r="F20" s="5" t="s">
        <v>9</v>
      </c>
      <c r="G20" s="6">
        <f>D20*E20*IF(F20="Short term",1.5,IF(F20="Medium term",1,0.7))</f>
        <v>22.5</v>
      </c>
    </row>
    <row r="21" spans="1:7" ht="43.2" x14ac:dyDescent="0.3">
      <c r="A21" s="2">
        <v>8</v>
      </c>
      <c r="B21" s="7" t="s">
        <v>48</v>
      </c>
      <c r="C21" s="8" t="s">
        <v>49</v>
      </c>
      <c r="D21" s="9">
        <v>5</v>
      </c>
      <c r="E21" s="9">
        <v>3</v>
      </c>
      <c r="F21" s="9" t="s">
        <v>9</v>
      </c>
      <c r="G21" s="10">
        <f>D21*E21*IF(F21="Short term",1.5,IF(F21="Medium term",1,0.7))</f>
        <v>22.5</v>
      </c>
    </row>
    <row r="22" spans="1:7" x14ac:dyDescent="0.3">
      <c r="A22" s="2">
        <v>25</v>
      </c>
      <c r="B22" s="7" t="s">
        <v>50</v>
      </c>
      <c r="C22" s="8" t="s">
        <v>51</v>
      </c>
      <c r="D22" s="9">
        <v>4</v>
      </c>
      <c r="E22" s="9">
        <v>3</v>
      </c>
      <c r="F22" s="9" t="s">
        <v>9</v>
      </c>
      <c r="G22" s="10">
        <f>D22*E22*IF(F22="Short term",1.5,IF(F22="Medium term",1,0.7))</f>
        <v>18</v>
      </c>
    </row>
    <row r="23" spans="1:7" ht="28.8" x14ac:dyDescent="0.3">
      <c r="A23" s="2">
        <v>9</v>
      </c>
      <c r="B23" s="3" t="s">
        <v>52</v>
      </c>
      <c r="C23" s="4" t="s">
        <v>53</v>
      </c>
      <c r="D23" s="5">
        <v>5</v>
      </c>
      <c r="E23" s="5">
        <v>3</v>
      </c>
      <c r="F23" s="5" t="s">
        <v>9</v>
      </c>
      <c r="G23" s="6">
        <f>D23*E23*IF(F23="Short term",1.5,IF(F23="Medium term",1,0.7))</f>
        <v>22.5</v>
      </c>
    </row>
    <row r="24" spans="1:7" ht="28.8" x14ac:dyDescent="0.3">
      <c r="A24" s="2">
        <v>10</v>
      </c>
      <c r="B24" s="7" t="s">
        <v>54</v>
      </c>
      <c r="C24" s="8" t="s">
        <v>55</v>
      </c>
      <c r="D24" s="9">
        <v>5</v>
      </c>
      <c r="E24" s="9">
        <v>3</v>
      </c>
      <c r="F24" s="9" t="s">
        <v>9</v>
      </c>
      <c r="G24" s="10">
        <f>D24*E24*IF(F24="Short term",1.5,IF(F24="Medium term",1,0.7))</f>
        <v>22.5</v>
      </c>
    </row>
    <row r="25" spans="1:7" x14ac:dyDescent="0.3">
      <c r="A25" s="2">
        <v>39</v>
      </c>
      <c r="B25" s="7" t="s">
        <v>56</v>
      </c>
      <c r="C25" s="8" t="s">
        <v>57</v>
      </c>
      <c r="D25" s="9">
        <v>3</v>
      </c>
      <c r="E25" s="9">
        <v>3</v>
      </c>
      <c r="F25" s="9" t="s">
        <v>9</v>
      </c>
      <c r="G25" s="10">
        <f>D25*E25*IF(F25="Short term",1.5,IF(F25="Medium term",1,0.7))</f>
        <v>13.5</v>
      </c>
    </row>
    <row r="26" spans="1:7" ht="28.8" x14ac:dyDescent="0.3">
      <c r="A26" s="2">
        <v>79</v>
      </c>
      <c r="B26" s="3" t="s">
        <v>58</v>
      </c>
      <c r="C26" s="4" t="s">
        <v>59</v>
      </c>
      <c r="D26" s="5">
        <v>3</v>
      </c>
      <c r="E26" s="5">
        <v>2</v>
      </c>
      <c r="F26" s="5" t="s">
        <v>14</v>
      </c>
      <c r="G26" s="6">
        <f>D26*E26*IF(F26="Short term",1.5,IF(F26="Medium term",1,0.7))</f>
        <v>6</v>
      </c>
    </row>
    <row r="27" spans="1:7" ht="43.2" x14ac:dyDescent="0.3">
      <c r="A27" s="2">
        <v>26</v>
      </c>
      <c r="B27" s="3" t="s">
        <v>60</v>
      </c>
      <c r="C27" s="4" t="s">
        <v>61</v>
      </c>
      <c r="D27" s="5">
        <v>4</v>
      </c>
      <c r="E27" s="5">
        <v>3</v>
      </c>
      <c r="F27" s="5" t="s">
        <v>9</v>
      </c>
      <c r="G27" s="6">
        <f>D27*E27*IF(F27="Short term",1.5,IF(F27="Medium term",1,0.7))</f>
        <v>18</v>
      </c>
    </row>
    <row r="28" spans="1:7" ht="43.2" x14ac:dyDescent="0.3">
      <c r="A28" s="2">
        <v>11</v>
      </c>
      <c r="B28" s="3" t="s">
        <v>62</v>
      </c>
      <c r="C28" s="4" t="s">
        <v>63</v>
      </c>
      <c r="D28" s="5">
        <v>5</v>
      </c>
      <c r="E28" s="5">
        <v>3</v>
      </c>
      <c r="F28" s="5" t="s">
        <v>9</v>
      </c>
      <c r="G28" s="6">
        <f>D28*E28*IF(F28="Short term",1.5,IF(F28="Medium term",1,0.7))</f>
        <v>22.5</v>
      </c>
    </row>
    <row r="29" spans="1:7" ht="28.8" x14ac:dyDescent="0.3">
      <c r="A29" s="2">
        <v>35</v>
      </c>
      <c r="B29" s="7" t="s">
        <v>64</v>
      </c>
      <c r="C29" s="8" t="s">
        <v>65</v>
      </c>
      <c r="D29" s="9">
        <v>5</v>
      </c>
      <c r="E29" s="9">
        <v>2</v>
      </c>
      <c r="F29" s="9" t="s">
        <v>9</v>
      </c>
      <c r="G29" s="10">
        <f>D29*E29*IF(F29="Short term",1.5,IF(F29="Medium term",1,0.7))</f>
        <v>15</v>
      </c>
    </row>
    <row r="30" spans="1:7" ht="43.2" x14ac:dyDescent="0.3">
      <c r="A30" s="2">
        <v>46</v>
      </c>
      <c r="B30" s="7" t="s">
        <v>66</v>
      </c>
      <c r="C30" s="8" t="s">
        <v>67</v>
      </c>
      <c r="D30" s="9">
        <v>4</v>
      </c>
      <c r="E30" s="9">
        <v>2</v>
      </c>
      <c r="F30" s="9" t="s">
        <v>9</v>
      </c>
      <c r="G30" s="10">
        <f>D30*E30*IF(F30="Short term",1.5,IF(F30="Medium term",1,0.7))</f>
        <v>12</v>
      </c>
    </row>
    <row r="31" spans="1:7" x14ac:dyDescent="0.3">
      <c r="A31" s="2">
        <v>80</v>
      </c>
      <c r="B31" s="7" t="s">
        <v>68</v>
      </c>
      <c r="C31" s="8" t="s">
        <v>69</v>
      </c>
      <c r="D31" s="9">
        <v>3</v>
      </c>
      <c r="E31" s="9">
        <v>2</v>
      </c>
      <c r="F31" s="9" t="s">
        <v>14</v>
      </c>
      <c r="G31" s="10">
        <f>D31*E31*IF(F31="Short term",1.5,IF(F31="Medium term",1,0.7))</f>
        <v>6</v>
      </c>
    </row>
    <row r="32" spans="1:7" ht="28.8" x14ac:dyDescent="0.3">
      <c r="A32" s="2">
        <v>81</v>
      </c>
      <c r="B32" s="3" t="s">
        <v>70</v>
      </c>
      <c r="C32" s="4" t="s">
        <v>71</v>
      </c>
      <c r="D32" s="5">
        <v>3</v>
      </c>
      <c r="E32" s="5">
        <v>2</v>
      </c>
      <c r="F32" s="5" t="s">
        <v>14</v>
      </c>
      <c r="G32" s="6">
        <f>D32*E32*IF(F32="Short term",1.5,IF(F32="Medium term",1,0.7))</f>
        <v>6</v>
      </c>
    </row>
    <row r="33" spans="1:7" ht="43.2" x14ac:dyDescent="0.3">
      <c r="A33" s="2">
        <v>82</v>
      </c>
      <c r="B33" s="7" t="s">
        <v>72</v>
      </c>
      <c r="C33" s="8" t="s">
        <v>73</v>
      </c>
      <c r="D33" s="9">
        <v>3</v>
      </c>
      <c r="E33" s="9">
        <v>2</v>
      </c>
      <c r="F33" s="9" t="s">
        <v>14</v>
      </c>
      <c r="G33" s="10">
        <f>D33*E33*IF(F33="Short term",1.5,IF(F33="Medium term",1,0.7))</f>
        <v>6</v>
      </c>
    </row>
    <row r="34" spans="1:7" ht="28.8" x14ac:dyDescent="0.3">
      <c r="A34" s="2">
        <v>12</v>
      </c>
      <c r="B34" s="7" t="s">
        <v>74</v>
      </c>
      <c r="C34" s="8" t="s">
        <v>75</v>
      </c>
      <c r="D34" s="9">
        <v>5</v>
      </c>
      <c r="E34" s="9">
        <v>3</v>
      </c>
      <c r="F34" s="9" t="s">
        <v>9</v>
      </c>
      <c r="G34" s="10">
        <f>D34*E34*IF(F34="Short term",1.5,IF(F34="Medium term",1,0.7))</f>
        <v>22.5</v>
      </c>
    </row>
    <row r="35" spans="1:7" ht="72" x14ac:dyDescent="0.3">
      <c r="A35" s="2">
        <v>47</v>
      </c>
      <c r="B35" s="3" t="s">
        <v>76</v>
      </c>
      <c r="C35" s="4" t="s">
        <v>77</v>
      </c>
      <c r="D35" s="5">
        <v>4</v>
      </c>
      <c r="E35" s="5">
        <v>2</v>
      </c>
      <c r="F35" s="5" t="s">
        <v>9</v>
      </c>
      <c r="G35" s="6">
        <f>D35*E35*IF(F35="Short term",1.5,IF(F35="Medium term",1,0.7))</f>
        <v>12</v>
      </c>
    </row>
    <row r="36" spans="1:7" ht="28.8" x14ac:dyDescent="0.3">
      <c r="A36" s="2">
        <v>63</v>
      </c>
      <c r="B36" s="7" t="s">
        <v>78</v>
      </c>
      <c r="C36" s="8" t="s">
        <v>79</v>
      </c>
      <c r="D36" s="9">
        <v>4</v>
      </c>
      <c r="E36" s="9">
        <v>2</v>
      </c>
      <c r="F36" s="9" t="s">
        <v>14</v>
      </c>
      <c r="G36" s="10">
        <f>D36*E36*IF(F36="Short term",1.5,IF(F36="Medium term",1,0.7))</f>
        <v>8</v>
      </c>
    </row>
    <row r="37" spans="1:7" ht="43.2" x14ac:dyDescent="0.3">
      <c r="A37" s="2">
        <v>76</v>
      </c>
      <c r="B37" s="11" t="s">
        <v>80</v>
      </c>
      <c r="C37" s="8" t="s">
        <v>81</v>
      </c>
      <c r="D37" s="5">
        <v>3</v>
      </c>
      <c r="E37" s="5">
        <v>2</v>
      </c>
      <c r="F37" s="5" t="s">
        <v>14</v>
      </c>
      <c r="G37" s="10">
        <f>D37*E37*IF(F37="Short term",1.5,IF(F37="Medium term",1,0.7))</f>
        <v>6</v>
      </c>
    </row>
    <row r="38" spans="1:7" ht="43.2" x14ac:dyDescent="0.3">
      <c r="A38" s="2">
        <v>37</v>
      </c>
      <c r="B38" s="3" t="s">
        <v>82</v>
      </c>
      <c r="C38" s="4" t="s">
        <v>83</v>
      </c>
      <c r="D38" s="5">
        <v>3</v>
      </c>
      <c r="E38" s="5">
        <v>3</v>
      </c>
      <c r="F38" s="5" t="s">
        <v>9</v>
      </c>
      <c r="G38" s="6">
        <f>D38*E38*IF(F38="Short term",1.5,IF(F38="Medium term",1,0.7))</f>
        <v>13.5</v>
      </c>
    </row>
    <row r="39" spans="1:7" ht="43.2" x14ac:dyDescent="0.3">
      <c r="A39" s="2">
        <v>13</v>
      </c>
      <c r="B39" s="7" t="s">
        <v>84</v>
      </c>
      <c r="C39" s="8" t="s">
        <v>85</v>
      </c>
      <c r="D39" s="9">
        <v>5</v>
      </c>
      <c r="E39" s="9">
        <v>3</v>
      </c>
      <c r="F39" s="9" t="s">
        <v>9</v>
      </c>
      <c r="G39" s="10">
        <f>D39*E39*IF(F39="Short term",1.5,IF(F39="Medium term",1,0.7))</f>
        <v>22.5</v>
      </c>
    </row>
    <row r="40" spans="1:7" ht="28.8" x14ac:dyDescent="0.3">
      <c r="A40" s="2">
        <v>14</v>
      </c>
      <c r="B40" s="3" t="s">
        <v>86</v>
      </c>
      <c r="C40" s="4" t="s">
        <v>87</v>
      </c>
      <c r="D40" s="5">
        <v>5</v>
      </c>
      <c r="E40" s="5">
        <v>3</v>
      </c>
      <c r="F40" s="5" t="s">
        <v>9</v>
      </c>
      <c r="G40" s="6">
        <f>D40*E40*IF(F40="Short term",1.5,IF(F40="Medium term",1,0.7))</f>
        <v>22.5</v>
      </c>
    </row>
    <row r="41" spans="1:7" ht="28.8" x14ac:dyDescent="0.3">
      <c r="A41" s="2">
        <v>15</v>
      </c>
      <c r="B41" s="7" t="s">
        <v>88</v>
      </c>
      <c r="C41" s="8" t="s">
        <v>89</v>
      </c>
      <c r="D41" s="9">
        <v>5</v>
      </c>
      <c r="E41" s="9">
        <v>3</v>
      </c>
      <c r="F41" s="9" t="s">
        <v>9</v>
      </c>
      <c r="G41" s="10">
        <f>D41*E41*IF(F41="Short term",1.5,IF(F41="Medium term",1,0.7))</f>
        <v>22.5</v>
      </c>
    </row>
    <row r="42" spans="1:7" x14ac:dyDescent="0.3">
      <c r="A42" s="2">
        <v>65</v>
      </c>
      <c r="B42" s="7" t="s">
        <v>90</v>
      </c>
      <c r="C42" s="8" t="s">
        <v>91</v>
      </c>
      <c r="D42" s="9">
        <v>4</v>
      </c>
      <c r="E42" s="9">
        <v>2</v>
      </c>
      <c r="F42" s="9" t="s">
        <v>14</v>
      </c>
      <c r="G42" s="10">
        <f>D42*E42*IF(F42="Short term",1.5,IF(F42="Medium term",1,0.7))</f>
        <v>8</v>
      </c>
    </row>
    <row r="43" spans="1:7" ht="43.2" x14ac:dyDescent="0.3">
      <c r="A43" s="2">
        <v>16</v>
      </c>
      <c r="B43" s="3" t="s">
        <v>92</v>
      </c>
      <c r="C43" s="4" t="s">
        <v>93</v>
      </c>
      <c r="D43" s="5">
        <v>5</v>
      </c>
      <c r="E43" s="5">
        <v>3</v>
      </c>
      <c r="F43" s="5" t="s">
        <v>9</v>
      </c>
      <c r="G43" s="6">
        <f>D43*E43*IF(F43="Short term",1.5,IF(F43="Medium term",1,0.7))</f>
        <v>22.5</v>
      </c>
    </row>
    <row r="44" spans="1:7" ht="28.8" x14ac:dyDescent="0.3">
      <c r="A44" s="2">
        <v>57</v>
      </c>
      <c r="B44" s="3" t="s">
        <v>94</v>
      </c>
      <c r="C44" s="4" t="s">
        <v>95</v>
      </c>
      <c r="D44" s="5">
        <v>3</v>
      </c>
      <c r="E44" s="5">
        <v>3</v>
      </c>
      <c r="F44" s="5" t="s">
        <v>14</v>
      </c>
      <c r="G44" s="6">
        <f>D44*E44*IF(F44="Short term",1.5,IF(F44="Medium term",1,0.7))</f>
        <v>9</v>
      </c>
    </row>
    <row r="45" spans="1:7" x14ac:dyDescent="0.3">
      <c r="A45" s="2">
        <v>66</v>
      </c>
      <c r="B45" s="3" t="s">
        <v>96</v>
      </c>
      <c r="C45" s="4" t="s">
        <v>97</v>
      </c>
      <c r="D45" s="5">
        <v>4</v>
      </c>
      <c r="E45" s="5">
        <v>2</v>
      </c>
      <c r="F45" s="5" t="s">
        <v>14</v>
      </c>
      <c r="G45" s="6">
        <f>D45*E45*IF(F45="Short term",1.5,IF(F45="Medium term",1,0.7))</f>
        <v>8</v>
      </c>
    </row>
    <row r="46" spans="1:7" x14ac:dyDescent="0.3">
      <c r="A46" s="2">
        <v>67</v>
      </c>
      <c r="B46" s="7" t="s">
        <v>98</v>
      </c>
      <c r="C46" s="8" t="s">
        <v>99</v>
      </c>
      <c r="D46" s="9">
        <v>4</v>
      </c>
      <c r="E46" s="9">
        <v>2</v>
      </c>
      <c r="F46" s="9" t="s">
        <v>14</v>
      </c>
      <c r="G46" s="10">
        <f>D46*E46*IF(F46="Short term",1.5,IF(F46="Medium term",1,0.7))</f>
        <v>8</v>
      </c>
    </row>
    <row r="47" spans="1:7" ht="28.8" x14ac:dyDescent="0.3">
      <c r="A47" s="2">
        <v>27</v>
      </c>
      <c r="B47" s="7" t="s">
        <v>100</v>
      </c>
      <c r="C47" s="8" t="s">
        <v>101</v>
      </c>
      <c r="D47" s="9">
        <v>4</v>
      </c>
      <c r="E47" s="9">
        <v>3</v>
      </c>
      <c r="F47" s="9" t="s">
        <v>9</v>
      </c>
      <c r="G47" s="10">
        <f>D47*E47*IF(F47="Short term",1.5,IF(F47="Medium term",1,0.7))</f>
        <v>18</v>
      </c>
    </row>
    <row r="48" spans="1:7" ht="43.2" x14ac:dyDescent="0.3">
      <c r="A48" s="2">
        <v>68</v>
      </c>
      <c r="B48" s="3" t="s">
        <v>102</v>
      </c>
      <c r="C48" s="4" t="s">
        <v>103</v>
      </c>
      <c r="D48" s="5">
        <v>4</v>
      </c>
      <c r="E48" s="5">
        <v>2</v>
      </c>
      <c r="F48" s="5" t="s">
        <v>14</v>
      </c>
      <c r="G48" s="6">
        <f>D48*E48*IF(F48="Short term",1.5,IF(F48="Medium term",1,0.7))</f>
        <v>8</v>
      </c>
    </row>
    <row r="49" spans="1:7" ht="28.8" x14ac:dyDescent="0.3">
      <c r="A49" s="2">
        <v>69</v>
      </c>
      <c r="B49" s="7" t="s">
        <v>104</v>
      </c>
      <c r="C49" s="8" t="s">
        <v>105</v>
      </c>
      <c r="D49" s="9">
        <v>4</v>
      </c>
      <c r="E49" s="9">
        <v>2</v>
      </c>
      <c r="F49" s="9" t="s">
        <v>14</v>
      </c>
      <c r="G49" s="10">
        <f>D49*E49*IF(F49="Short term",1.5,IF(F49="Medium term",1,0.7))</f>
        <v>8</v>
      </c>
    </row>
    <row r="50" spans="1:7" ht="43.2" x14ac:dyDescent="0.3">
      <c r="A50" s="2">
        <v>17</v>
      </c>
      <c r="B50" s="7" t="s">
        <v>106</v>
      </c>
      <c r="C50" s="8" t="s">
        <v>107</v>
      </c>
      <c r="D50" s="9">
        <v>5</v>
      </c>
      <c r="E50" s="9">
        <v>3</v>
      </c>
      <c r="F50" s="9" t="s">
        <v>9</v>
      </c>
      <c r="G50" s="10">
        <f>D50*E50*IF(F50="Short term",1.5,IF(F50="Medium term",1,0.7))</f>
        <v>22.5</v>
      </c>
    </row>
    <row r="51" spans="1:7" ht="43.2" x14ac:dyDescent="0.3">
      <c r="A51" s="2">
        <v>87</v>
      </c>
      <c r="B51" s="3" t="s">
        <v>108</v>
      </c>
      <c r="C51" s="4" t="s">
        <v>109</v>
      </c>
      <c r="D51" s="5">
        <v>3</v>
      </c>
      <c r="E51" s="5">
        <v>2</v>
      </c>
      <c r="F51" s="5" t="s">
        <v>14</v>
      </c>
      <c r="G51" s="6">
        <f>D51*E51*IF(F51="Short term",1.5,IF(F51="Medium term",1,0.7))</f>
        <v>6</v>
      </c>
    </row>
    <row r="52" spans="1:7" ht="28.8" x14ac:dyDescent="0.3">
      <c r="A52" s="2">
        <v>88</v>
      </c>
      <c r="B52" s="7" t="s">
        <v>110</v>
      </c>
      <c r="C52" s="8" t="s">
        <v>111</v>
      </c>
      <c r="D52" s="9">
        <v>3</v>
      </c>
      <c r="E52" s="9">
        <v>2</v>
      </c>
      <c r="F52" s="9" t="s">
        <v>14</v>
      </c>
      <c r="G52" s="10">
        <f>D52*E52*IF(F52="Short term",1.5,IF(F52="Medium term",1,0.7))</f>
        <v>6</v>
      </c>
    </row>
    <row r="53" spans="1:7" ht="28.8" x14ac:dyDescent="0.3">
      <c r="A53" s="2">
        <v>98</v>
      </c>
      <c r="B53" s="7" t="s">
        <v>112</v>
      </c>
      <c r="C53" s="8" t="s">
        <v>113</v>
      </c>
      <c r="D53" s="9">
        <v>2</v>
      </c>
      <c r="E53" s="9">
        <v>2</v>
      </c>
      <c r="F53" s="9" t="s">
        <v>23</v>
      </c>
      <c r="G53" s="10">
        <f>D53*E53*IF(F53="Short term",1.5,IF(F53="Medium term",1,0.7))</f>
        <v>2.8</v>
      </c>
    </row>
    <row r="54" spans="1:7" ht="28.8" x14ac:dyDescent="0.3">
      <c r="A54" s="2">
        <v>49</v>
      </c>
      <c r="B54" s="3" t="s">
        <v>114</v>
      </c>
      <c r="C54" s="4" t="s">
        <v>115</v>
      </c>
      <c r="D54" s="5">
        <v>4</v>
      </c>
      <c r="E54" s="5">
        <v>2</v>
      </c>
      <c r="F54" s="5" t="s">
        <v>9</v>
      </c>
      <c r="G54" s="6">
        <f>D54*E54*IF(F54="Short term",1.5,IF(F54="Medium term",1,0.7))</f>
        <v>12</v>
      </c>
    </row>
    <row r="55" spans="1:7" ht="43.2" x14ac:dyDescent="0.3">
      <c r="A55" s="2">
        <v>50</v>
      </c>
      <c r="B55" s="7" t="s">
        <v>116</v>
      </c>
      <c r="C55" s="8" t="s">
        <v>117</v>
      </c>
      <c r="D55" s="9">
        <v>4</v>
      </c>
      <c r="E55" s="9">
        <v>2</v>
      </c>
      <c r="F55" s="9" t="s">
        <v>9</v>
      </c>
      <c r="G55" s="10">
        <f>D55*E55*IF(F55="Short term",1.5,IF(F55="Medium term",1,0.7))</f>
        <v>12</v>
      </c>
    </row>
    <row r="56" spans="1:7" x14ac:dyDescent="0.3">
      <c r="A56" s="2">
        <v>83</v>
      </c>
      <c r="B56" s="2" t="s">
        <v>118</v>
      </c>
      <c r="C56" s="4" t="s">
        <v>119</v>
      </c>
      <c r="D56" s="5">
        <v>3</v>
      </c>
      <c r="E56" s="5">
        <v>2</v>
      </c>
      <c r="F56" s="5" t="s">
        <v>14</v>
      </c>
      <c r="G56" s="6">
        <f>D56*E56*IF(F56="Short term",1.5,IF(F56="Medium term",1,0.7))</f>
        <v>6</v>
      </c>
    </row>
    <row r="57" spans="1:7" ht="28.8" x14ac:dyDescent="0.3">
      <c r="A57" s="2">
        <v>48</v>
      </c>
      <c r="B57" s="11" t="s">
        <v>120</v>
      </c>
      <c r="C57" s="8" t="s">
        <v>121</v>
      </c>
      <c r="D57" s="9">
        <v>4</v>
      </c>
      <c r="E57" s="9">
        <v>2</v>
      </c>
      <c r="F57" s="9" t="s">
        <v>9</v>
      </c>
      <c r="G57" s="10">
        <f>D57*E57*IF(F57="Short term",1.5,IF(F57="Medium term",1,0.7))</f>
        <v>12</v>
      </c>
    </row>
    <row r="58" spans="1:7" ht="43.2" x14ac:dyDescent="0.3">
      <c r="A58" s="2">
        <v>84</v>
      </c>
      <c r="B58" s="11" t="s">
        <v>122</v>
      </c>
      <c r="C58" s="8" t="s">
        <v>123</v>
      </c>
      <c r="D58" s="9">
        <v>3</v>
      </c>
      <c r="E58" s="9">
        <v>2</v>
      </c>
      <c r="F58" s="9" t="s">
        <v>14</v>
      </c>
      <c r="G58" s="10">
        <f>D58*E58*IF(F58="Short term",1.5,IF(F58="Medium term",1,0.7))</f>
        <v>6</v>
      </c>
    </row>
    <row r="59" spans="1:7" ht="43.2" x14ac:dyDescent="0.3">
      <c r="A59" s="2">
        <v>85</v>
      </c>
      <c r="B59" s="2" t="s">
        <v>124</v>
      </c>
      <c r="C59" s="4" t="s">
        <v>125</v>
      </c>
      <c r="D59" s="5">
        <v>3</v>
      </c>
      <c r="E59" s="5">
        <v>2</v>
      </c>
      <c r="F59" s="5" t="s">
        <v>14</v>
      </c>
      <c r="G59" s="6">
        <f>D59*E59*IF(F59="Short term",1.5,IF(F59="Medium term",1,0.7))</f>
        <v>6</v>
      </c>
    </row>
    <row r="60" spans="1:7" ht="28.8" x14ac:dyDescent="0.3">
      <c r="A60" s="2">
        <v>86</v>
      </c>
      <c r="B60" s="11" t="s">
        <v>126</v>
      </c>
      <c r="C60" s="8" t="s">
        <v>127</v>
      </c>
      <c r="D60" s="9">
        <v>3</v>
      </c>
      <c r="E60" s="9">
        <v>2</v>
      </c>
      <c r="F60" s="9" t="s">
        <v>14</v>
      </c>
      <c r="G60" s="10">
        <f>D60*E60*IF(F60="Short term",1.5,IF(F60="Medium term",1,0.7))</f>
        <v>6</v>
      </c>
    </row>
    <row r="61" spans="1:7" ht="28.8" x14ac:dyDescent="0.3">
      <c r="A61" s="2">
        <v>18</v>
      </c>
      <c r="B61" s="3" t="s">
        <v>128</v>
      </c>
      <c r="C61" s="4" t="s">
        <v>129</v>
      </c>
      <c r="D61" s="5">
        <v>5</v>
      </c>
      <c r="E61" s="5">
        <v>3</v>
      </c>
      <c r="F61" s="5" t="s">
        <v>9</v>
      </c>
      <c r="G61" s="6">
        <f>D61*E61*IF(F61="Short term",1.5,IF(F61="Medium term",1,0.7))</f>
        <v>22.5</v>
      </c>
    </row>
    <row r="62" spans="1:7" x14ac:dyDescent="0.3">
      <c r="A62" s="2">
        <v>43</v>
      </c>
      <c r="B62" s="3" t="s">
        <v>130</v>
      </c>
      <c r="C62" s="4" t="s">
        <v>131</v>
      </c>
      <c r="D62" s="5">
        <v>4</v>
      </c>
      <c r="E62" s="5">
        <v>3</v>
      </c>
      <c r="F62" s="5" t="s">
        <v>14</v>
      </c>
      <c r="G62" s="6">
        <f>D62*E62*IF(F62="Short term",1.5,IF(F62="Medium term",1,0.7))</f>
        <v>12</v>
      </c>
    </row>
    <row r="63" spans="1:7" ht="43.2" x14ac:dyDescent="0.3">
      <c r="A63" s="2">
        <v>44</v>
      </c>
      <c r="B63" s="7" t="s">
        <v>132</v>
      </c>
      <c r="C63" s="8" t="s">
        <v>133</v>
      </c>
      <c r="D63" s="9">
        <v>4</v>
      </c>
      <c r="E63" s="9">
        <v>3</v>
      </c>
      <c r="F63" s="9" t="s">
        <v>14</v>
      </c>
      <c r="G63" s="10">
        <f>D63*E63*IF(F63="Short term",1.5,IF(F63="Medium term",1,0.7))</f>
        <v>12</v>
      </c>
    </row>
    <row r="64" spans="1:7" ht="28.8" x14ac:dyDescent="0.3">
      <c r="A64" s="2">
        <v>19</v>
      </c>
      <c r="B64" s="7" t="s">
        <v>134</v>
      </c>
      <c r="C64" s="8" t="s">
        <v>135</v>
      </c>
      <c r="D64" s="9">
        <v>5</v>
      </c>
      <c r="E64" s="9">
        <v>3</v>
      </c>
      <c r="F64" s="9" t="s">
        <v>9</v>
      </c>
      <c r="G64" s="10">
        <f>D64*E64*IF(F64="Short term",1.5,IF(F64="Medium term",1,0.7))</f>
        <v>22.5</v>
      </c>
    </row>
    <row r="65" spans="1:7" ht="28.8" x14ac:dyDescent="0.3">
      <c r="A65" s="2">
        <v>31</v>
      </c>
      <c r="B65" s="7" t="s">
        <v>136</v>
      </c>
      <c r="C65" s="8" t="s">
        <v>137</v>
      </c>
      <c r="D65" s="9">
        <v>4</v>
      </c>
      <c r="E65" s="9">
        <v>3</v>
      </c>
      <c r="F65" s="9" t="s">
        <v>9</v>
      </c>
      <c r="G65" s="10">
        <f>D65*E65*IF(F65="Short term",1.5,IF(F65="Medium term",1,0.7))</f>
        <v>18</v>
      </c>
    </row>
    <row r="66" spans="1:7" x14ac:dyDescent="0.3">
      <c r="A66" s="2">
        <v>59</v>
      </c>
      <c r="B66" s="3" t="s">
        <v>138</v>
      </c>
      <c r="C66" s="4" t="s">
        <v>139</v>
      </c>
      <c r="D66" s="5">
        <v>3</v>
      </c>
      <c r="E66" s="5">
        <v>3</v>
      </c>
      <c r="F66" s="5" t="s">
        <v>14</v>
      </c>
      <c r="G66" s="6">
        <f>D66*E66*IF(F66="Short term",1.5,IF(F66="Medium term",1,0.7))</f>
        <v>9</v>
      </c>
    </row>
    <row r="67" spans="1:7" x14ac:dyDescent="0.3">
      <c r="A67" s="2">
        <v>32</v>
      </c>
      <c r="B67" s="3" t="s">
        <v>140</v>
      </c>
      <c r="C67" s="4" t="s">
        <v>141</v>
      </c>
      <c r="D67" s="5">
        <v>4</v>
      </c>
      <c r="E67" s="5">
        <v>3</v>
      </c>
      <c r="F67" s="5" t="s">
        <v>9</v>
      </c>
      <c r="G67" s="6">
        <f>D67*E67*IF(F67="Short term",1.5,IF(F67="Medium term",1,0.7))</f>
        <v>18</v>
      </c>
    </row>
    <row r="68" spans="1:7" x14ac:dyDescent="0.3">
      <c r="A68" s="2">
        <v>70</v>
      </c>
      <c r="B68" s="3" t="s">
        <v>142</v>
      </c>
      <c r="C68" s="4" t="s">
        <v>143</v>
      </c>
      <c r="D68" s="5">
        <v>4</v>
      </c>
      <c r="E68" s="5">
        <v>2</v>
      </c>
      <c r="F68" s="5" t="s">
        <v>14</v>
      </c>
      <c r="G68" s="6">
        <f>D68*E68*IF(F68="Short term",1.5,IF(F68="Medium term",1,0.7))</f>
        <v>8</v>
      </c>
    </row>
    <row r="69" spans="1:7" ht="28.8" x14ac:dyDescent="0.3">
      <c r="A69" s="2">
        <v>45</v>
      </c>
      <c r="B69" s="3" t="s">
        <v>144</v>
      </c>
      <c r="C69" s="4" t="s">
        <v>145</v>
      </c>
      <c r="D69" s="5">
        <v>4</v>
      </c>
      <c r="E69" s="5">
        <v>3</v>
      </c>
      <c r="F69" s="5" t="s">
        <v>14</v>
      </c>
      <c r="G69" s="6">
        <f>D69*E69*IF(F69="Short term",1.5,IF(F69="Medium term",1,0.7))</f>
        <v>12</v>
      </c>
    </row>
    <row r="70" spans="1:7" ht="28.8" x14ac:dyDescent="0.3">
      <c r="A70" s="2">
        <v>41</v>
      </c>
      <c r="B70" s="2" t="s">
        <v>146</v>
      </c>
      <c r="C70" s="4" t="s">
        <v>147</v>
      </c>
      <c r="D70" s="5">
        <v>4</v>
      </c>
      <c r="E70" s="5">
        <v>3</v>
      </c>
      <c r="F70" s="5" t="s">
        <v>14</v>
      </c>
      <c r="G70" s="6">
        <f>D70*E70*IF(F70="Short term",1.5,IF(F70="Medium term",1,0.7))</f>
        <v>12</v>
      </c>
    </row>
    <row r="71" spans="1:7" ht="28.8" x14ac:dyDescent="0.3">
      <c r="A71" s="2">
        <v>89</v>
      </c>
      <c r="B71" s="2" t="s">
        <v>148</v>
      </c>
      <c r="C71" s="4" t="s">
        <v>149</v>
      </c>
      <c r="D71" s="5">
        <v>3</v>
      </c>
      <c r="E71" s="5">
        <v>2</v>
      </c>
      <c r="F71" s="5" t="s">
        <v>14</v>
      </c>
      <c r="G71" s="6">
        <f>D71*E71*IF(F71="Short term",1.5,IF(F71="Medium term",1,0.7))</f>
        <v>6</v>
      </c>
    </row>
    <row r="72" spans="1:7" ht="28.8" x14ac:dyDescent="0.3">
      <c r="A72" s="2">
        <v>90</v>
      </c>
      <c r="B72" s="11" t="s">
        <v>150</v>
      </c>
      <c r="C72" s="8" t="s">
        <v>151</v>
      </c>
      <c r="D72" s="9">
        <v>3</v>
      </c>
      <c r="E72" s="9">
        <v>2</v>
      </c>
      <c r="F72" s="9" t="s">
        <v>14</v>
      </c>
      <c r="G72" s="10">
        <f>D72*E72*IF(F72="Short term",1.5,IF(F72="Medium term",1,0.7))</f>
        <v>6</v>
      </c>
    </row>
    <row r="73" spans="1:7" ht="43.2" x14ac:dyDescent="0.3">
      <c r="A73" s="2">
        <v>28</v>
      </c>
      <c r="B73" s="3" t="s">
        <v>152</v>
      </c>
      <c r="C73" s="4" t="s">
        <v>153</v>
      </c>
      <c r="D73" s="5">
        <v>4</v>
      </c>
      <c r="E73" s="5">
        <v>3</v>
      </c>
      <c r="F73" s="5" t="s">
        <v>9</v>
      </c>
      <c r="G73" s="6">
        <f>D73*E73*IF(F73="Short term",1.5,IF(F73="Medium term",1,0.7))</f>
        <v>18</v>
      </c>
    </row>
    <row r="74" spans="1:7" ht="43.2" x14ac:dyDescent="0.3">
      <c r="A74" s="2">
        <v>58</v>
      </c>
      <c r="B74" s="7" t="s">
        <v>154</v>
      </c>
      <c r="C74" s="8" t="s">
        <v>155</v>
      </c>
      <c r="D74" s="9">
        <v>3</v>
      </c>
      <c r="E74" s="9">
        <v>3</v>
      </c>
      <c r="F74" s="9" t="s">
        <v>14</v>
      </c>
      <c r="G74" s="10">
        <f>D74*E74*IF(F74="Short term",1.5,IF(F74="Medium term",1,0.7))</f>
        <v>9</v>
      </c>
    </row>
    <row r="75" spans="1:7" ht="28.8" x14ac:dyDescent="0.3">
      <c r="A75" s="2">
        <v>29</v>
      </c>
      <c r="B75" s="11" t="s">
        <v>156</v>
      </c>
      <c r="C75" s="8" t="s">
        <v>157</v>
      </c>
      <c r="D75" s="9">
        <v>4</v>
      </c>
      <c r="E75" s="9">
        <v>3</v>
      </c>
      <c r="F75" s="9" t="s">
        <v>9</v>
      </c>
      <c r="G75" s="10">
        <f>D75*E75*IF(F75="Short term",1.5,IF(F75="Medium term",1,0.7))</f>
        <v>18</v>
      </c>
    </row>
    <row r="76" spans="1:7" ht="28.8" x14ac:dyDescent="0.3">
      <c r="A76" s="2">
        <v>42</v>
      </c>
      <c r="B76" s="11" t="s">
        <v>158</v>
      </c>
      <c r="C76" s="8" t="s">
        <v>159</v>
      </c>
      <c r="D76" s="9">
        <v>4</v>
      </c>
      <c r="E76" s="9">
        <v>3</v>
      </c>
      <c r="F76" s="9" t="s">
        <v>14</v>
      </c>
      <c r="G76" s="10">
        <f>D76*E76*IF(F76="Short term",1.5,IF(F76="Medium term",1,0.7))</f>
        <v>12</v>
      </c>
    </row>
    <row r="77" spans="1:7" ht="57.6" x14ac:dyDescent="0.3">
      <c r="A77" s="2">
        <v>30</v>
      </c>
      <c r="B77" s="2" t="s">
        <v>160</v>
      </c>
      <c r="C77" s="4" t="s">
        <v>161</v>
      </c>
      <c r="D77" s="5">
        <v>4</v>
      </c>
      <c r="E77" s="5">
        <v>3</v>
      </c>
      <c r="F77" s="5" t="s">
        <v>9</v>
      </c>
      <c r="G77" s="6">
        <f>D77*E77*IF(F77="Short term",1.5,IF(F77="Medium term",1,0.7))</f>
        <v>18</v>
      </c>
    </row>
    <row r="78" spans="1:7" ht="28.8" x14ac:dyDescent="0.3">
      <c r="A78" s="2">
        <v>20</v>
      </c>
      <c r="B78" s="3" t="s">
        <v>162</v>
      </c>
      <c r="C78" s="4" t="s">
        <v>163</v>
      </c>
      <c r="D78" s="5">
        <v>5</v>
      </c>
      <c r="E78" s="5">
        <v>3</v>
      </c>
      <c r="F78" s="5" t="s">
        <v>9</v>
      </c>
      <c r="G78" s="6">
        <f>D78*E78*IF(F78="Short term",1.5,IF(F78="Medium term",1,0.7))</f>
        <v>22.5</v>
      </c>
    </row>
    <row r="79" spans="1:7" ht="28.8" x14ac:dyDescent="0.3">
      <c r="A79" s="2">
        <v>91</v>
      </c>
      <c r="B79" s="3" t="s">
        <v>164</v>
      </c>
      <c r="C79" s="4" t="s">
        <v>165</v>
      </c>
      <c r="D79" s="5">
        <v>3</v>
      </c>
      <c r="E79" s="5">
        <v>2</v>
      </c>
      <c r="F79" s="5" t="s">
        <v>14</v>
      </c>
      <c r="G79" s="6">
        <f>D79*E79*IF(F79="Short term",1.5,IF(F79="Medium term",1,0.7))</f>
        <v>6</v>
      </c>
    </row>
    <row r="80" spans="1:7" ht="28.8" x14ac:dyDescent="0.3">
      <c r="A80" s="2">
        <v>51</v>
      </c>
      <c r="B80" s="3" t="s">
        <v>166</v>
      </c>
      <c r="C80" s="4" t="s">
        <v>167</v>
      </c>
      <c r="D80" s="5">
        <v>4</v>
      </c>
      <c r="E80" s="5">
        <v>2</v>
      </c>
      <c r="F80" s="5" t="s">
        <v>9</v>
      </c>
      <c r="G80" s="6">
        <f>D80*E80*IF(F80="Short term",1.5,IF(F80="Medium term",1,0.7))</f>
        <v>12</v>
      </c>
    </row>
    <row r="81" spans="1:7" ht="28.8" x14ac:dyDescent="0.3">
      <c r="A81" s="2">
        <v>60</v>
      </c>
      <c r="B81" s="7" t="s">
        <v>168</v>
      </c>
      <c r="C81" s="8" t="s">
        <v>169</v>
      </c>
      <c r="D81" s="9">
        <v>3</v>
      </c>
      <c r="E81" s="9">
        <v>3</v>
      </c>
      <c r="F81" s="9" t="s">
        <v>14</v>
      </c>
      <c r="G81" s="10">
        <f>D81*E81*IF(F81="Short term",1.5,IF(F81="Medium term",1,0.7))</f>
        <v>9</v>
      </c>
    </row>
    <row r="82" spans="1:7" ht="28.8" x14ac:dyDescent="0.3">
      <c r="A82" s="2">
        <v>52</v>
      </c>
      <c r="B82" s="7" t="s">
        <v>170</v>
      </c>
      <c r="C82" s="8" t="s">
        <v>171</v>
      </c>
      <c r="D82" s="9">
        <v>4</v>
      </c>
      <c r="E82" s="9">
        <v>2</v>
      </c>
      <c r="F82" s="9" t="s">
        <v>9</v>
      </c>
      <c r="G82" s="10">
        <f>D82*E82*IF(F82="Short term",1.5,IF(F82="Medium term",1,0.7))</f>
        <v>12</v>
      </c>
    </row>
    <row r="83" spans="1:7" ht="28.8" x14ac:dyDescent="0.3">
      <c r="A83" s="2">
        <v>92</v>
      </c>
      <c r="B83" s="7" t="s">
        <v>172</v>
      </c>
      <c r="C83" s="8" t="s">
        <v>173</v>
      </c>
      <c r="D83" s="9">
        <v>3</v>
      </c>
      <c r="E83" s="9">
        <v>2</v>
      </c>
      <c r="F83" s="9" t="s">
        <v>14</v>
      </c>
      <c r="G83" s="10">
        <f>D83*E83*IF(F83="Short term",1.5,IF(F83="Medium term",1,0.7))</f>
        <v>6</v>
      </c>
    </row>
    <row r="84" spans="1:7" ht="28.8" x14ac:dyDescent="0.3">
      <c r="A84" s="2">
        <v>33</v>
      </c>
      <c r="B84" s="7" t="s">
        <v>174</v>
      </c>
      <c r="C84" s="8" t="s">
        <v>175</v>
      </c>
      <c r="D84" s="9">
        <v>4</v>
      </c>
      <c r="E84" s="9">
        <v>3</v>
      </c>
      <c r="F84" s="9" t="s">
        <v>9</v>
      </c>
      <c r="G84" s="10">
        <f>D84*E84*IF(F84="Short term",1.5,IF(F84="Medium term",1,0.7))</f>
        <v>18</v>
      </c>
    </row>
    <row r="85" spans="1:7" ht="28.8" x14ac:dyDescent="0.3">
      <c r="A85" s="2">
        <v>61</v>
      </c>
      <c r="B85" s="3" t="s">
        <v>176</v>
      </c>
      <c r="C85" s="4" t="s">
        <v>177</v>
      </c>
      <c r="D85" s="5">
        <v>3</v>
      </c>
      <c r="E85" s="5">
        <v>3</v>
      </c>
      <c r="F85" s="5" t="s">
        <v>14</v>
      </c>
      <c r="G85" s="6">
        <f>D85*E85*IF(F85="Short term",1.5,IF(F85="Medium term",1,0.7))</f>
        <v>9</v>
      </c>
    </row>
    <row r="86" spans="1:7" x14ac:dyDescent="0.3">
      <c r="A86" s="2">
        <v>21</v>
      </c>
      <c r="B86" s="7" t="s">
        <v>178</v>
      </c>
      <c r="C86" s="8" t="s">
        <v>179</v>
      </c>
      <c r="D86" s="9">
        <v>5</v>
      </c>
      <c r="E86" s="9">
        <v>3</v>
      </c>
      <c r="F86" s="9" t="s">
        <v>9</v>
      </c>
      <c r="G86" s="10">
        <f>D86*E86*IF(F86="Short term",1.5,IF(F86="Medium term",1,0.7))</f>
        <v>22.5</v>
      </c>
    </row>
    <row r="87" spans="1:7" x14ac:dyDescent="0.3">
      <c r="A87" s="2">
        <v>53</v>
      </c>
      <c r="B87" s="3" t="s">
        <v>180</v>
      </c>
      <c r="C87" s="4" t="s">
        <v>181</v>
      </c>
      <c r="D87" s="5">
        <v>4</v>
      </c>
      <c r="E87" s="5">
        <v>2</v>
      </c>
      <c r="F87" s="5" t="s">
        <v>9</v>
      </c>
      <c r="G87" s="6">
        <f>D87*E87*IF(F87="Short term",1.5,IF(F87="Medium term",1,0.7))</f>
        <v>12</v>
      </c>
    </row>
    <row r="88" spans="1:7" x14ac:dyDescent="0.3">
      <c r="A88" s="2">
        <v>72</v>
      </c>
      <c r="B88" s="3" t="s">
        <v>182</v>
      </c>
      <c r="C88" s="4" t="s">
        <v>183</v>
      </c>
      <c r="D88" s="5">
        <v>4</v>
      </c>
      <c r="E88" s="5">
        <v>2</v>
      </c>
      <c r="F88" s="5" t="s">
        <v>14</v>
      </c>
      <c r="G88" s="6">
        <f>D88*E88*IF(F88="Short term",1.5,IF(F88="Medium term",1,0.7))</f>
        <v>8</v>
      </c>
    </row>
    <row r="89" spans="1:7" x14ac:dyDescent="0.3">
      <c r="A89" s="2">
        <v>73</v>
      </c>
      <c r="B89" s="7" t="s">
        <v>184</v>
      </c>
      <c r="C89" s="8" t="s">
        <v>185</v>
      </c>
      <c r="D89" s="9">
        <v>4</v>
      </c>
      <c r="E89" s="9">
        <v>2</v>
      </c>
      <c r="F89" s="9" t="s">
        <v>14</v>
      </c>
      <c r="G89" s="10">
        <f>D89*E89*IF(F89="Short term",1.5,IF(F89="Medium term",1,0.7))</f>
        <v>8</v>
      </c>
    </row>
    <row r="90" spans="1:7" x14ac:dyDescent="0.3">
      <c r="A90" s="2">
        <v>54</v>
      </c>
      <c r="B90" s="7" t="s">
        <v>186</v>
      </c>
      <c r="C90" s="8" t="s">
        <v>187</v>
      </c>
      <c r="D90" s="9">
        <v>4</v>
      </c>
      <c r="E90" s="9">
        <v>2</v>
      </c>
      <c r="F90" s="9" t="s">
        <v>9</v>
      </c>
      <c r="G90" s="10">
        <f>D90*E90*IF(F90="Short term",1.5,IF(F90="Medium term",1,0.7))</f>
        <v>12</v>
      </c>
    </row>
    <row r="91" spans="1:7" x14ac:dyDescent="0.3">
      <c r="A91" s="2">
        <v>74</v>
      </c>
      <c r="B91" s="3" t="s">
        <v>188</v>
      </c>
      <c r="C91" s="4" t="s">
        <v>189</v>
      </c>
      <c r="D91" s="5">
        <v>4</v>
      </c>
      <c r="E91" s="5">
        <v>2</v>
      </c>
      <c r="F91" s="5" t="s">
        <v>14</v>
      </c>
      <c r="G91" s="6">
        <f>D91*E91*IF(F91="Short term",1.5,IF(F91="Medium term",1,0.7))</f>
        <v>8</v>
      </c>
    </row>
    <row r="92" spans="1:7" ht="28.8" x14ac:dyDescent="0.3">
      <c r="A92" s="2">
        <v>62</v>
      </c>
      <c r="B92" s="7" t="s">
        <v>190</v>
      </c>
      <c r="C92" s="8" t="s">
        <v>191</v>
      </c>
      <c r="D92" s="9">
        <v>3</v>
      </c>
      <c r="E92" s="9">
        <v>3</v>
      </c>
      <c r="F92" s="9" t="s">
        <v>14</v>
      </c>
      <c r="G92" s="10">
        <f>D92*E92*IF(F92="Short term",1.5,IF(F92="Medium term",1,0.7))</f>
        <v>9</v>
      </c>
    </row>
    <row r="93" spans="1:7" x14ac:dyDescent="0.3">
      <c r="A93" s="2">
        <v>75</v>
      </c>
      <c r="B93" s="7" t="s">
        <v>192</v>
      </c>
      <c r="C93" s="8" t="s">
        <v>193</v>
      </c>
      <c r="D93" s="9">
        <v>4</v>
      </c>
      <c r="E93" s="9">
        <v>2</v>
      </c>
      <c r="F93" s="9" t="s">
        <v>14</v>
      </c>
      <c r="G93" s="10">
        <f>D93*E93*IF(F93="Short term",1.5,IF(F93="Medium term",1,0.7))</f>
        <v>8</v>
      </c>
    </row>
    <row r="94" spans="1:7" x14ac:dyDescent="0.3">
      <c r="A94" s="2">
        <v>94</v>
      </c>
      <c r="B94" s="7" t="s">
        <v>194</v>
      </c>
      <c r="C94" s="8" t="s">
        <v>195</v>
      </c>
      <c r="D94" s="9">
        <v>3</v>
      </c>
      <c r="E94" s="9">
        <v>2</v>
      </c>
      <c r="F94" s="9" t="s">
        <v>14</v>
      </c>
      <c r="G94" s="10">
        <f>D94*E94*IF(F94="Short term",1.5,IF(F94="Medium term",1,0.7))</f>
        <v>6</v>
      </c>
    </row>
    <row r="95" spans="1:7" ht="28.8" x14ac:dyDescent="0.3">
      <c r="A95" s="2">
        <v>97</v>
      </c>
      <c r="B95" s="2" t="s">
        <v>196</v>
      </c>
      <c r="C95" s="4" t="s">
        <v>197</v>
      </c>
      <c r="D95" s="5">
        <v>3</v>
      </c>
      <c r="E95" s="5">
        <v>2</v>
      </c>
      <c r="F95" s="5" t="s">
        <v>23</v>
      </c>
      <c r="G95" s="6">
        <f>D95*E95*IF(F95="Short term",1.5,IF(F95="Medium term",1,0.7))</f>
        <v>4.1999999999999993</v>
      </c>
    </row>
    <row r="96" spans="1:7" x14ac:dyDescent="0.3">
      <c r="A96" s="2">
        <v>95</v>
      </c>
      <c r="B96" s="2" t="s">
        <v>198</v>
      </c>
      <c r="C96" s="4" t="s">
        <v>199</v>
      </c>
      <c r="D96" s="5">
        <v>4</v>
      </c>
      <c r="E96" s="5">
        <v>2</v>
      </c>
      <c r="F96" s="5" t="s">
        <v>23</v>
      </c>
      <c r="G96" s="6">
        <f>D96*E96*IF(F96="Short term",1.5,IF(F96="Medium term",1,0.7))</f>
        <v>5.6</v>
      </c>
    </row>
    <row r="97" spans="1:7" ht="28.8" x14ac:dyDescent="0.3">
      <c r="A97" s="2">
        <v>71</v>
      </c>
      <c r="B97" s="7" t="s">
        <v>200</v>
      </c>
      <c r="C97" s="8" t="s">
        <v>201</v>
      </c>
      <c r="D97" s="9">
        <v>4</v>
      </c>
      <c r="E97" s="9">
        <v>2</v>
      </c>
      <c r="F97" s="9" t="s">
        <v>14</v>
      </c>
      <c r="G97" s="10">
        <f>D97*E97*IF(F97="Short term",1.5,IF(F97="Medium term",1,0.7))</f>
        <v>8</v>
      </c>
    </row>
    <row r="98" spans="1:7" x14ac:dyDescent="0.3">
      <c r="A98" s="2">
        <v>93</v>
      </c>
      <c r="B98" s="3" t="s">
        <v>202</v>
      </c>
      <c r="C98" s="4" t="s">
        <v>203</v>
      </c>
      <c r="D98" s="5">
        <v>3</v>
      </c>
      <c r="E98" s="5">
        <v>2</v>
      </c>
      <c r="F98" s="5" t="s">
        <v>14</v>
      </c>
      <c r="G98" s="6">
        <f>D98*E98*IF(F98="Short term",1.5,IF(F98="Medium term",1,0.7))</f>
        <v>6</v>
      </c>
    </row>
    <row r="99" spans="1:7" ht="28.8" x14ac:dyDescent="0.3">
      <c r="A99" s="2">
        <v>34</v>
      </c>
      <c r="B99" s="2" t="s">
        <v>204</v>
      </c>
      <c r="C99" s="4" t="s">
        <v>205</v>
      </c>
      <c r="D99" s="5">
        <v>4</v>
      </c>
      <c r="E99" s="5">
        <v>3</v>
      </c>
      <c r="F99" s="5" t="s">
        <v>9</v>
      </c>
      <c r="G99" s="6">
        <f>D99*E99*IF(F99="Short term",1.5,IF(F99="Medium term",1,0.7))</f>
        <v>18</v>
      </c>
    </row>
    <row r="100" spans="1:7" ht="43.2" x14ac:dyDescent="0.3">
      <c r="A100" s="2">
        <v>36</v>
      </c>
      <c r="B100" s="11" t="s">
        <v>206</v>
      </c>
      <c r="C100" s="8" t="s">
        <v>207</v>
      </c>
      <c r="D100" s="5">
        <v>3</v>
      </c>
      <c r="E100" s="5">
        <v>3</v>
      </c>
      <c r="F100" s="5" t="s">
        <v>9</v>
      </c>
      <c r="G100" s="10">
        <f>D100*E100*IF(F100="Short term",1.5,IF(F100="Medium term",1,0.7))</f>
        <v>13.5</v>
      </c>
    </row>
  </sheetData>
  <conditionalFormatting sqref="G2:G100">
    <cfRule type="colorScale" priority="1">
      <colorScale>
        <cfvo type="min"/>
        <cfvo type="percentile" val="50"/>
        <cfvo type="max"/>
        <color rgb="FF63BE7B"/>
        <color rgb="FFFFEB84"/>
        <color rgb="FFF8696B"/>
      </colorScale>
    </cfRule>
  </conditionalFormatting>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D85B1243FD17F438BE34FEB5A297342" ma:contentTypeVersion="3" ma:contentTypeDescription="Create a new document." ma:contentTypeScope="" ma:versionID="8a8f4fa773fa79740d6040ae4747ab53">
  <xsd:schema xmlns:xsd="http://www.w3.org/2001/XMLSchema" xmlns:xs="http://www.w3.org/2001/XMLSchema" xmlns:p="http://schemas.microsoft.com/office/2006/metadata/properties" xmlns:ns2="30ee69ac-93bb-4872-b933-dc7fc9e74c07" targetNamespace="http://schemas.microsoft.com/office/2006/metadata/properties" ma:root="true" ma:fieldsID="a408910476ecab22cf77713cf5a4c4c9" ns2:_="">
    <xsd:import namespace="30ee69ac-93bb-4872-b933-dc7fc9e74c0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ee69ac-93bb-4872-b933-dc7fc9e74c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50EF010-7287-40BA-BFBC-A9C1DEFC13BD}"/>
</file>

<file path=customXml/itemProps2.xml><?xml version="1.0" encoding="utf-8"?>
<ds:datastoreItem xmlns:ds="http://schemas.openxmlformats.org/officeDocument/2006/customXml" ds:itemID="{9F682260-4BC8-423B-876A-BA8ACD7AB91A}"/>
</file>

<file path=customXml/itemProps3.xml><?xml version="1.0" encoding="utf-8"?>
<ds:datastoreItem xmlns:ds="http://schemas.openxmlformats.org/officeDocument/2006/customXml" ds:itemID="{E4AA2D3F-973D-4472-8E43-C8BF59E0F35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Full ranking NEW LISTING</vt:lpstr>
    </vt:vector>
  </TitlesOfParts>
  <Company>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Ionut Dragan</dc:creator>
  <cp:lastModifiedBy>Ionut Dragan</cp:lastModifiedBy>
  <dcterms:created xsi:type="dcterms:W3CDTF">2026-08-30T20:20:31Z</dcterms:created>
  <dcterms:modified xsi:type="dcterms:W3CDTF">2026-08-30T20:21:59Z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342600</vt:r8>
  </property>
  <property fmtid="{D5CDD505-2E9C-101B-9397-08002B2CF9AE}" pid="3" name="ContentTypeId">
    <vt:lpwstr>0x0101005D85B1243FD17F438BE34FEB5A297342</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